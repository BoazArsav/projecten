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o365zadkine-my.sharepoint.com/personal/0102889_zadkine_nl/Documents/Documenten/Lesmaterialen/2021-2022/Project1/"/>
    </mc:Choice>
  </mc:AlternateContent>
  <xr:revisionPtr revIDLastSave="165" documentId="8_{1C6DABB7-CB04-4A53-86B2-02060C80EE56}" xr6:coauthVersionLast="46" xr6:coauthVersionMax="46" xr10:uidLastSave="{5BCD05C3-4705-4984-B49D-766F0DAB5A8C}"/>
  <bookViews>
    <workbookView xWindow="-108" yWindow="-108" windowWidth="23256" windowHeight="12576" activeTab="1" xr2:uid="{4C366029-9CCE-954C-B43C-81A3834361EC}"/>
  </bookViews>
  <sheets>
    <sheet name="Config" sheetId="4" r:id="rId1"/>
    <sheet name="Basis" sheetId="159" r:id="rId2"/>
  </sheets>
  <definedNames>
    <definedName name="_xlnm._FilterDatabase" localSheetId="0" hidden="1">Config!$A$1:$D$28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5" i="159" l="1"/>
  <c r="C75" i="159" s="1"/>
  <c r="B74" i="159"/>
  <c r="C74" i="159" s="1"/>
  <c r="B73" i="159"/>
  <c r="C73" i="159" s="1"/>
  <c r="B72" i="159"/>
  <c r="C72" i="159" s="1"/>
  <c r="B71" i="159"/>
  <c r="C71" i="159" s="1"/>
  <c r="B70" i="159"/>
  <c r="C70" i="159" s="1"/>
  <c r="B69" i="159"/>
  <c r="C69" i="159" s="1"/>
  <c r="B68" i="159"/>
  <c r="C68" i="159" s="1"/>
  <c r="B67" i="159"/>
  <c r="C67" i="159" s="1"/>
  <c r="B100" i="159"/>
  <c r="C100" i="159" s="1"/>
  <c r="B101" i="159"/>
  <c r="B102" i="159"/>
  <c r="B103" i="159"/>
  <c r="C103" i="159" s="1"/>
  <c r="B104" i="159"/>
  <c r="C104" i="159" s="1"/>
  <c r="B105" i="159"/>
  <c r="C105" i="159" s="1"/>
  <c r="B106" i="159"/>
  <c r="C106" i="159" s="1"/>
  <c r="B107" i="159"/>
  <c r="C107" i="159" s="1"/>
  <c r="B108" i="159"/>
  <c r="C108" i="159" s="1"/>
  <c r="B109" i="159"/>
  <c r="B110" i="159"/>
  <c r="B111" i="159"/>
  <c r="B112" i="159"/>
  <c r="C112" i="159" s="1"/>
  <c r="B113" i="159"/>
  <c r="C113" i="159" s="1"/>
  <c r="B114" i="159"/>
  <c r="C114" i="159" s="1"/>
  <c r="B115" i="159"/>
  <c r="C115" i="159" s="1"/>
  <c r="B116" i="159"/>
  <c r="B117" i="159"/>
  <c r="B118" i="159"/>
  <c r="C118" i="159" s="1"/>
  <c r="B119" i="159"/>
  <c r="C119" i="159" s="1"/>
  <c r="B120" i="159"/>
  <c r="C120" i="159" s="1"/>
  <c r="B121" i="159"/>
  <c r="C121" i="159" s="1"/>
  <c r="B122" i="159"/>
  <c r="C122" i="159" s="1"/>
  <c r="B58" i="159"/>
  <c r="C58" i="159" s="1"/>
  <c r="B59" i="159"/>
  <c r="C59" i="159" s="1"/>
  <c r="B60" i="159"/>
  <c r="C60" i="159" s="1"/>
  <c r="B61" i="159"/>
  <c r="C61" i="159" s="1"/>
  <c r="B62" i="159"/>
  <c r="C62" i="159" s="1"/>
  <c r="B63" i="159"/>
  <c r="C63" i="159" s="1"/>
  <c r="B64" i="159"/>
  <c r="C64" i="159" s="1"/>
  <c r="B65" i="159"/>
  <c r="C65" i="159" s="1"/>
  <c r="B66" i="159"/>
  <c r="C66" i="159" s="1"/>
  <c r="B76" i="159"/>
  <c r="C76" i="159" s="1"/>
  <c r="B77" i="159"/>
  <c r="C77" i="159" s="1"/>
  <c r="B78" i="159"/>
  <c r="C78" i="159" s="1"/>
  <c r="B79" i="159"/>
  <c r="C79" i="159" s="1"/>
  <c r="B80" i="159"/>
  <c r="C80" i="159" s="1"/>
  <c r="B81" i="159"/>
  <c r="C81" i="159" s="1"/>
  <c r="B82" i="159"/>
  <c r="C82" i="159" s="1"/>
  <c r="B83" i="159"/>
  <c r="C83" i="159" s="1"/>
  <c r="B84" i="159"/>
  <c r="C84" i="159" s="1"/>
  <c r="B85" i="159"/>
  <c r="B86" i="159"/>
  <c r="C86" i="159" s="1"/>
  <c r="B87" i="159"/>
  <c r="C87" i="159" s="1"/>
  <c r="B88" i="159"/>
  <c r="C88" i="159" s="1"/>
  <c r="B89" i="159"/>
  <c r="C89" i="159" s="1"/>
  <c r="B91" i="159"/>
  <c r="C91" i="159" s="1"/>
  <c r="B92" i="159"/>
  <c r="C92" i="159" s="1"/>
  <c r="B93" i="159"/>
  <c r="B94" i="159"/>
  <c r="C94" i="159" s="1"/>
  <c r="B95" i="159"/>
  <c r="C95" i="159" s="1"/>
  <c r="B96" i="159"/>
  <c r="C96" i="159" s="1"/>
  <c r="B97" i="159"/>
  <c r="C97" i="159" s="1"/>
  <c r="B98" i="159"/>
  <c r="C98" i="159" s="1"/>
  <c r="B99" i="159"/>
  <c r="C99" i="159" s="1"/>
  <c r="B57" i="159"/>
  <c r="C57" i="159" s="1"/>
  <c r="C116" i="159"/>
  <c r="C117" i="159"/>
  <c r="C111" i="159"/>
  <c r="C110" i="159"/>
  <c r="C109" i="159"/>
  <c r="C102" i="159"/>
  <c r="C101" i="159"/>
  <c r="C93" i="159"/>
  <c r="C85" i="159"/>
  <c r="C2" i="159"/>
  <c r="C1" i="159"/>
  <c r="B1" i="159" a="1"/>
  <c r="B1" i="159" s="1"/>
  <c r="E44" i="159" a="1"/>
  <c r="F44" i="159" a="1"/>
  <c r="G44" i="159" a="1"/>
  <c r="D18" i="4" a="1"/>
  <c r="D23" i="4" a="1"/>
  <c r="D16" i="4" a="1"/>
  <c r="D20" i="4" a="1"/>
  <c r="D25" i="4" a="1"/>
  <c r="D27" i="4" a="1"/>
  <c r="D3" i="4" a="1"/>
  <c r="D13" i="4" a="1"/>
  <c r="D15" i="4" a="1"/>
  <c r="D10" i="4" a="1"/>
  <c r="D21" i="4" a="1"/>
  <c r="D5" i="4" a="1"/>
  <c r="D26" i="4" a="1"/>
  <c r="D9" i="4" a="1"/>
  <c r="D11" i="4" a="1"/>
  <c r="D22" i="4" a="1"/>
  <c r="D28" i="4" a="1"/>
  <c r="D19" i="4" a="1"/>
  <c r="D7" i="4" a="1"/>
  <c r="D14" i="4" a="1"/>
  <c r="D2" i="4" a="1"/>
  <c r="D24" i="4" a="1"/>
  <c r="D4" i="4" a="1"/>
  <c r="D12" i="4" a="1"/>
  <c r="D17" i="4" a="1"/>
  <c r="D8" i="4" a="1"/>
  <c r="D6" i="4" a="1"/>
  <c r="E44" i="159" l="1"/>
  <c r="F44" i="159"/>
  <c r="G44" i="159"/>
  <c r="D28" i="4"/>
  <c r="D3" i="4"/>
  <c r="D4" i="4"/>
  <c r="D5" i="4"/>
  <c r="D6" i="4"/>
  <c r="D7" i="4"/>
  <c r="D8" i="4"/>
  <c r="D13" i="4"/>
  <c r="D20" i="4"/>
  <c r="D14" i="4"/>
  <c r="D21" i="4"/>
  <c r="D15" i="4"/>
  <c r="D22" i="4"/>
  <c r="D16" i="4"/>
  <c r="D23" i="4"/>
  <c r="D17" i="4"/>
  <c r="D24" i="4"/>
  <c r="D18" i="4"/>
  <c r="D25" i="4"/>
  <c r="D19" i="4"/>
  <c r="D26" i="4"/>
  <c r="D12" i="4"/>
  <c r="D2" i="4"/>
  <c r="D27" i="4"/>
  <c r="D9" i="4"/>
  <c r="D11" i="4"/>
  <c r="D10" i="4"/>
  <c r="H44" i="159" l="1"/>
  <c r="D1" i="4" a="1"/>
  <c r="D45" i="159" l="1"/>
  <c r="H45" i="159"/>
  <c r="D1" i="4"/>
  <c r="A28" i="4"/>
  <c r="A25" i="4" l="1"/>
  <c r="A26" i="4"/>
  <c r="A27" i="4"/>
  <c r="A2" i="4" l="1"/>
  <c r="A3" i="4"/>
  <c r="A4" i="4"/>
  <c r="A5" i="4"/>
  <c r="A6" i="4"/>
  <c r="A7" i="4"/>
  <c r="A8" i="4"/>
  <c r="A9" i="4"/>
  <c r="A10" i="4"/>
  <c r="A11" i="4"/>
  <c r="A12" i="4"/>
  <c r="A13" i="4"/>
  <c r="A14" i="4"/>
  <c r="A15" i="4"/>
  <c r="A16" i="4"/>
  <c r="A17" i="4"/>
  <c r="A18" i="4"/>
  <c r="A19" i="4"/>
  <c r="A20" i="4"/>
  <c r="A21" i="4"/>
  <c r="A22" i="4"/>
  <c r="A23" i="4"/>
  <c r="A24" i="4"/>
  <c r="A1"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<sst xmlns="http://schemas.openxmlformats.org/spreadsheetml/2006/main" count="293" uniqueCount="182">
  <si>
    <t>B1-K1: Realiseert software</t>
  </si>
  <si>
    <t>Entree</t>
  </si>
  <si>
    <t xml:space="preserve">Junior </t>
  </si>
  <si>
    <t xml:space="preserve">Medior </t>
  </si>
  <si>
    <t>Senior</t>
  </si>
  <si>
    <t>Niet of nauwelijks</t>
  </si>
  <si>
    <t>Weinig</t>
  </si>
  <si>
    <t>Grotendeels</t>
  </si>
  <si>
    <t>Volledig</t>
  </si>
  <si>
    <t>De junior plant de werkzaamheden volgens de instructie en monitort de voortgang op afgesproken tijden. De opdrachtgever is de docent.</t>
  </si>
  <si>
    <t>De medior plant de werkzaamheden op basis van de eenvoudige eisen en wensen. De medior monitort de voortgang op afgesproken tijden en informeert tussentijds bij teamleden naar de voortgang. De opdrachtgever kan een klant zijn of een docent.</t>
  </si>
  <si>
    <t xml:space="preserve">De senior plant de werkzaamheden op basis van de verschillende eisen en wensen. De senior monitort de voortgang en stemt af op de moeilijkheid van het proces en/of de cruciale momenten.
</t>
  </si>
  <si>
    <t>B1-K1-W2: Ontwerpt software</t>
  </si>
  <si>
    <t>Functioneel Ontwerp</t>
  </si>
  <si>
    <t>De junior ontwerpt software op basis van de gestelde eisen. De techniek is uitgevoerd zoals gevraagd en is enkelvoudig. De keuzes die de junior maakt zijn gebaseerd op de vooraf opgestelde kwaliteitseisen. De opdrachtgever is de docent.</t>
  </si>
  <si>
    <t>De medior ontwerpt software  op basis van de aangeleverde eisen en wensen en op basis van het gesprek met de klant. De keuzes die hij/zij maakt zijn gebaseerd op vooraf opgestelde kwaliteitseisen. De opdrachtgever kan een klant zijn of een docent.</t>
  </si>
  <si>
    <t xml:space="preserve">De senior haalt de complexe wensen en eisen voor het ontwerp op bij de klant en vertaald deze naar een ontwerp. De gestelde eisen en wensen komen terug in het ontwerp. De senior onderbouwt aan de klant de keuzes die hij/zij gemaakt. 
</t>
  </si>
  <si>
    <t>B1-K1-W3: Realiseert (onderdelen van) software</t>
  </si>
  <si>
    <t>Bronbestanden</t>
  </si>
  <si>
    <t>De junior realiseert de software aan de hand van de enkelvoudige opgestelde eisen en wensen. De junior werkt volgens de instructie aan onderdelen van de software. Hij/zij houdt de verschillende versies bij en overlegt regelmatig met de leidinggevende over de voortgang van het proces. De junior bepaalt met de leidinggevende de prioriteiten. De opdrachtgever is de docent.</t>
  </si>
  <si>
    <t>De medior realiseert de software aan de hand van de meervoudige opgestelde eisen. De medior vraagt de klant naar zijn eisen en wensen. De medior werkt aan de hand van de instructie en zijn eigen planning aan de software. Hij/zij houdt de verschillende versies bij en houdt zelfstandig de voortgang bij.  De medior overlegt met de leidinggevende over de prioriteiten in het proces. De opdrachtgever kan een klein bedrijf zijn of een docent.</t>
  </si>
  <si>
    <t>De senior realiseert de complexe software aan de hand van de opgehaalde eisen en wensen van de klant. Hij/zij bevraagt de klant. De senior werkt zelfstandig aan de opdracht en checkt regelmatig of deze aan de gestelde eisen voldoet. Hij/zij kan zelfstandig prioriteiten aangeven in het proces om de software te realiseren. De opdrachtgever heeft een complexe vraag en is een groot bedrijf.</t>
  </si>
  <si>
    <t>De code is gestructureerd opgesteld volgens code conventions.</t>
  </si>
  <si>
    <t>De code is verzorgd, leesbaar, gestructureerd en voorzien van zinvol commentaar</t>
  </si>
  <si>
    <t>De voortgang is bewaakt en de juiste keuzes/afwegingen zijn gemaakt op basis van prioriteiten.</t>
  </si>
  <si>
    <t>Plan van aanpak/Planning</t>
  </si>
  <si>
    <t>B1-K1-W4: Test software</t>
  </si>
  <si>
    <t>De junior test aan de hand van een gedetailleerd stappenplan de software. Dit legt hij/zij vast in een testrapport volgens een vast format. De junior bespreekt met de leidinggevende het resultaat en de conclusie van de test.</t>
  </si>
  <si>
    <t>De medior test de software waarbij hij/zij een globaal stappenplan volgt. De resultaten en conclusies van de test legt hij/zij vast in een testrapport volgens een vast format. De medior presenteert het rapport aan de leidinggevende.</t>
  </si>
  <si>
    <t>De senior test de complexe software aan de hand van de gestelde kwaliteitseisen. De resultaten van de test legt hij/zij vast in een testrapport waarbij de conclusie en het resultaat zijn benoemd. De senior presenteert dit rapport aan de opdrachtgever.</t>
  </si>
  <si>
    <t>B1-K1-W5: Doet verbetervoorstellen voor de software</t>
  </si>
  <si>
    <t>B1-K2: Werkt in een ontwikkelteam</t>
  </si>
  <si>
    <t>B1-K2-W1: Voert overleg</t>
  </si>
  <si>
    <t>De gemaakte afspraken zijn eenduidig vastgelegd.</t>
  </si>
  <si>
    <t>Plan van aanpak</t>
  </si>
  <si>
    <t>De kandidaat houdt zich aan gemaakte afspraken</t>
  </si>
  <si>
    <t>Planning</t>
  </si>
  <si>
    <t>B1-K2-W2: Presenteert het opgeleverde werk</t>
  </si>
  <si>
    <t>De kandidaat presenteert een overtuigend, duidelijk, beargumenteerd verhaal, afgestemd op doelgroep.</t>
  </si>
  <si>
    <t>(Video)Presentatie</t>
  </si>
  <si>
    <t>De junior presenteert het opgeleverde werk, geeft aan hoe dat werk tot stand is gekomen en richt de informatie op de leidinggevende. Na de presentatie checkt de junior of de leidinggevende het verhaal begrepen heeft en of hij nog vragen heeft. Tot slot luistert de junior naar de reactie van de leidinggevende.</t>
  </si>
  <si>
    <t>De medior presenteert het werk, geeft aan welke keuzes hij/zij gemaakt heeft om tot het eindproduct te komen en richt zich op de opdrachtgever. Tijdens de presentatie heeft de medior interactie met de betrokkenen en reageert hij/zij op vragen van de betrokkenen. De medior luistert naar de feedback en reageert op de feedback door aan te geven wat hij/zij ermee gaat doen.</t>
  </si>
  <si>
    <t>De senior presenteert het eindproduct, geeft aan waarom hij/zij welke keuzes heeft gemaakt om tot het eindresultaat te komen. De senior gaat in op vragen en stelt gericht vragen aan de betrokkenen, hij/zij betrekt zijn teamleden bij de presentatie.  De senior luistert naar de feedback, stelt vragen ter verduidelijking en komt met mogelijke oplossingen en verkent deze met de opdrachtgever.</t>
  </si>
  <si>
    <t>De kandidaat stelt gerichte vragen om te controleren of de betrokkenen goed geïnformeerd zijn over het opgeleverde werk.</t>
  </si>
  <si>
    <t>De kandidaat reageert adequaat op feedback.</t>
  </si>
  <si>
    <t xml:space="preserve">B1-K2-W3: Reflecteert op het werk </t>
  </si>
  <si>
    <t>Aantal</t>
  </si>
  <si>
    <t>CIJFERTABEL</t>
  </si>
  <si>
    <t>Voldoende</t>
  </si>
  <si>
    <t>Toets</t>
  </si>
  <si>
    <t>Normering</t>
  </si>
  <si>
    <t>Normeringsterm 1,0</t>
  </si>
  <si>
    <t>Score</t>
  </si>
  <si>
    <t xml:space="preserve">Cijfer </t>
  </si>
  <si>
    <t xml:space="preserve">CTRL+ALT+SHIFT+F9 </t>
  </si>
  <si>
    <t>Refresh</t>
  </si>
  <si>
    <t>B1-K1-W1: Plant werkzaamheden en bewaakt de voortgang                                                                                  Maak achtergrond geel bij te kiezen score.</t>
  </si>
  <si>
    <t>Basis</t>
  </si>
  <si>
    <t>Standaard tabs</t>
  </si>
  <si>
    <t>Klik tot aantal studenten is bereikt. (Bij 25 studenten = Basis(25)</t>
  </si>
  <si>
    <t>Config -&gt; Zet namen van de studenten in A1 en verder</t>
  </si>
  <si>
    <t>Totaalscore</t>
  </si>
  <si>
    <t>Percentage %</t>
  </si>
  <si>
    <t>%</t>
  </si>
  <si>
    <t>Projectnaam:</t>
  </si>
  <si>
    <t>Project 1: Statische website</t>
  </si>
  <si>
    <t>Klas:</t>
  </si>
  <si>
    <t>Voor 10</t>
  </si>
  <si>
    <t>Voor 11</t>
  </si>
  <si>
    <t>Voor 12</t>
  </si>
  <si>
    <t>Voor 13</t>
  </si>
  <si>
    <t>Voor 14</t>
  </si>
  <si>
    <t>Voor 15</t>
  </si>
  <si>
    <t>Voor 16</t>
  </si>
  <si>
    <t>Voor 17</t>
  </si>
  <si>
    <t>Voor 18</t>
  </si>
  <si>
    <t>Voor 19</t>
  </si>
  <si>
    <t>Voor 20</t>
  </si>
  <si>
    <t>Voor 21</t>
  </si>
  <si>
    <t>Voor 22</t>
  </si>
  <si>
    <t>Voor 23</t>
  </si>
  <si>
    <t>Voor 24</t>
  </si>
  <si>
    <t>Voor 25</t>
  </si>
  <si>
    <t>Voor 26</t>
  </si>
  <si>
    <t>Voor 27</t>
  </si>
  <si>
    <t>Voor 28</t>
  </si>
  <si>
    <t>Achternaam 10</t>
  </si>
  <si>
    <t>Achternaam 11</t>
  </si>
  <si>
    <t>Achternaam 12</t>
  </si>
  <si>
    <t>Achternaam 13</t>
  </si>
  <si>
    <t>Achternaam 14</t>
  </si>
  <si>
    <t>Achternaam 15</t>
  </si>
  <si>
    <t>Achternaam 16</t>
  </si>
  <si>
    <t>Achternaam 17</t>
  </si>
  <si>
    <t>Achternaam 18</t>
  </si>
  <si>
    <t>Achternaam 19</t>
  </si>
  <si>
    <t>Achternaam 20</t>
  </si>
  <si>
    <t>Achternaam 21</t>
  </si>
  <si>
    <t>Achternaam 22</t>
  </si>
  <si>
    <t>Achternaam 23</t>
  </si>
  <si>
    <t>Achternaam 24</t>
  </si>
  <si>
    <t>Achternaam 25</t>
  </si>
  <si>
    <t>Achternaam 26</t>
  </si>
  <si>
    <t>Achternaam 27</t>
  </si>
  <si>
    <t>Achternaam 28</t>
  </si>
  <si>
    <t>Naam niet veranderen.</t>
  </si>
  <si>
    <t>Maakt PDF bestanden van elk tabblad met de naam van de student.</t>
  </si>
  <si>
    <t>Na het gewenste aantal hernoem de tabbladen in de gewenste namen.</t>
  </si>
  <si>
    <t xml:space="preserve">In de map </t>
  </si>
  <si>
    <t>C:/VGT</t>
  </si>
  <si>
    <t>Geef hier de projectnaam en klas.</t>
  </si>
  <si>
    <t>Kolom A is na deze stap klikbaar als link naar de gewenste student.</t>
  </si>
  <si>
    <t>Het TCR-logo verwijst terug naar dit tabblad</t>
  </si>
  <si>
    <t>Het CSS bestand is gevalideerd</t>
  </si>
  <si>
    <t>De HTML bronbestanden zijn gevalideerd</t>
  </si>
  <si>
    <t>Meer dan 4 foutmeldingen</t>
  </si>
  <si>
    <t>Maximaal 4 foutmeldingen</t>
  </si>
  <si>
    <t>Geen foutmeldingen</t>
  </si>
  <si>
    <t>Heeft minimaal 10 webpagina's op de website</t>
  </si>
  <si>
    <t>Minder dan 10 webpagina's</t>
  </si>
  <si>
    <t>10 webpagina's of meer</t>
  </si>
  <si>
    <t>Heeft de afgesproken onderdelen van de website op tijd opgeleverd</t>
  </si>
  <si>
    <t>Plan van Aanpak</t>
  </si>
  <si>
    <t>Heeft een volledige planning opgeleverd</t>
  </si>
  <si>
    <t>Heeft een strokenplanning toegevoegd</t>
  </si>
  <si>
    <t>Nee</t>
  </si>
  <si>
    <t>Ja</t>
  </si>
  <si>
    <t>Heeft de onderdelen Inleiding, Communicatie, Beschrijving en Kosten correct opgeleverd</t>
  </si>
  <si>
    <t>Heeft de onderdelen Inleiding, Beschrijving site, Doelstelling site, Doelgroep/Belanghebbenden, Beschrijving ontwikkelomgeving correct opgeleverd</t>
  </si>
  <si>
    <t>Functioneel ontwerp</t>
  </si>
  <si>
    <t>Heeft een eigen aandeel van de wireframes correct ontworpen</t>
  </si>
  <si>
    <t>Heeft een eigen aandeel van de navigatiestructuur correct ontworpen</t>
  </si>
  <si>
    <t>GIT connectie aangemaakt</t>
  </si>
  <si>
    <t>Versiebeheer is correct opgezet.</t>
  </si>
  <si>
    <t>Versiebeheer is correct bijgehouden.</t>
  </si>
  <si>
    <t>GIT push meermalen gebruikt per week</t>
  </si>
  <si>
    <t>0-1 commits</t>
  </si>
  <si>
    <t>2-3 commits</t>
  </si>
  <si>
    <t>4-6 commits</t>
  </si>
  <si>
    <t>&gt;6 commits</t>
  </si>
  <si>
    <t>Alle menu-onderdelen werken correct</t>
  </si>
  <si>
    <t>De (externe) links (behalve menu) op de website werken correct</t>
  </si>
  <si>
    <t>Website bevat een navigatiebalk</t>
  </si>
  <si>
    <t>Website bevat een formulier met minimaal 5 verschillende input-types (exclusief submit / reset)</t>
  </si>
  <si>
    <t>ja</t>
  </si>
  <si>
    <t>Website bevat een representatief uitziende tabel</t>
  </si>
  <si>
    <t>Totaal = 55 punten</t>
  </si>
  <si>
    <t>55,0 punten</t>
  </si>
  <si>
    <t>Beroepshouding</t>
  </si>
  <si>
    <t>Aanwezigheid tijdens de lessen</t>
  </si>
  <si>
    <t>AWR</t>
  </si>
  <si>
    <t>SPLVSOD1A</t>
  </si>
  <si>
    <t>Voor 01</t>
  </si>
  <si>
    <t>Achternaam 01</t>
  </si>
  <si>
    <t>Voor 02</t>
  </si>
  <si>
    <t>Achternaam 02</t>
  </si>
  <si>
    <t>Voor 03</t>
  </si>
  <si>
    <t>Achternaam 03</t>
  </si>
  <si>
    <t>Voor 04</t>
  </si>
  <si>
    <t>Voor 06</t>
  </si>
  <si>
    <t>Voor 07</t>
  </si>
  <si>
    <t>Voor 08</t>
  </si>
  <si>
    <t>Voor 09</t>
  </si>
  <si>
    <t>Voor 05</t>
  </si>
  <si>
    <t>Achternaam 04</t>
  </si>
  <si>
    <t>Achternaam 05</t>
  </si>
  <si>
    <t>Achternaam 06</t>
  </si>
  <si>
    <t>Achternaam 07</t>
  </si>
  <si>
    <t>Achternaam 08</t>
  </si>
  <si>
    <t>Achternaam 09</t>
  </si>
  <si>
    <t>&lt; 80%</t>
  </si>
  <si>
    <t>85% - &lt;92%</t>
  </si>
  <si>
    <t>&gt;= 92%</t>
  </si>
  <si>
    <t>80% - &lt;85%</t>
  </si>
  <si>
    <t>Inleveren van opdrachten</t>
  </si>
  <si>
    <t>Teams opdrachten</t>
  </si>
  <si>
    <t>Gedrag in de lessen</t>
  </si>
  <si>
    <t>Gedrag in de klas</t>
  </si>
  <si>
    <t>Niets te klagen</t>
  </si>
  <si>
    <t>Grotendeels aanvaardbaar</t>
  </si>
  <si>
    <t>Ongewenst gedrag</t>
  </si>
  <si>
    <t>Net niet vervelend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</si>
</sst>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1">
    <font>
      <sz val="12"/>
      <color theme="1"/>
      <name val="Calibri"/>
      <family val="2"/>
      <scheme val="minor"/>
    </font>
    <font>
      <sz val="11"/>
      <color theme="1"/>
      <name val="Calibri"/>
      <family val="2"/>
      <scheme val="minor"/>
    </font>
    <font>
      <b/>
      <i/>
      <sz val="11"/>
      <color theme="1"/>
      <name val="Calibri"/>
      <family val="2"/>
      <scheme val="minor"/>
    </font>
    <font>
      <b/>
      <sz val="18"/>
      <color theme="1"/>
      <name val="Calibri"/>
      <family val="2"/>
      <scheme val="minor"/>
    </font>
    <font>
      <b/>
      <sz val="11"/>
      <color theme="0"/>
      <name val="Calibri"/>
      <family val="2"/>
      <scheme val="minor"/>
    </font>
    <font>
      <sz val="12"/>
      <color theme="0" tint="-0.34998626667073579"/>
      <name val="Calibri"/>
      <family val="2"/>
      <scheme val="minor"/>
    </font>
    <font>
      <sz val="12"/>
      <name val="Calibri"/>
      <family val="2"/>
      <scheme val="minor"/>
    </font>
    <font>
      <b/>
      <sz val="18"/>
      <color theme="0"/>
      <name val="Calibri"/>
      <family val="2"/>
      <scheme val="minor"/>
    </font>
    <font>
      <b/>
      <sz val="12"/>
      <color theme="0"/>
      <name val="Calibri"/>
      <family val="2"/>
      <scheme val="minor"/>
    </font>
    <font>
      <b/>
      <sz val="12"/>
      <name val="Calibri"/>
      <family val="2"/>
      <scheme val="minor"/>
    </font>
    <font>
      <b/>
      <sz val="18"/>
      <name val="Calibri"/>
      <family val="2"/>
      <scheme val="minor"/>
    </font>
    <font>
      <sz val="12"/>
      <color rgb="FFAEAAAA"/>
      <name val="Calibri"/>
      <family val="2"/>
      <scheme val="minor"/>
    </font>
    <font>
      <sz val="14"/>
      <color theme="1"/>
      <name val="Calibri"/>
      <family val="2"/>
      <scheme val="minor"/>
    </font>
    <font>
      <b/>
      <i/>
      <sz val="14"/>
      <color theme="1"/>
      <name val="Calibri"/>
      <family val="2"/>
      <scheme val="minor"/>
    </font>
    <font>
      <b/>
      <sz val="14"/>
      <color theme="1"/>
      <name val="Calibri"/>
      <family val="2"/>
      <scheme val="minor"/>
    </font>
    <font>
      <b/>
      <sz val="14"/>
      <color rgb="FF000000"/>
      <name val="-Apple-System"/>
      <charset val="1"/>
    </font>
    <font>
      <sz val="14"/>
      <color rgb="FF000000"/>
      <name val="-Apple-System"/>
      <charset val="1"/>
    </font>
    <font>
      <b/>
      <sz val="11"/>
      <color theme="1"/>
      <name val="Calibri"/>
      <family val="2"/>
      <scheme val="minor"/>
    </font>
    <font>
      <b/>
      <sz val="12"/>
      <color theme="1"/>
      <name val="Calibri"/>
      <family val="2"/>
      <scheme val="minor"/>
    </font>
    <font>
      <b/>
      <sz val="11"/>
      <color rgb="FF000000"/>
      <name val="Calibri"/>
      <family val="2"/>
      <scheme val="minor"/>
    </font>
    <font>
      <b/>
      <sz val="11"/>
      <color rgb="FFAEAAAA"/>
      <name val="Calibri"/>
      <family val="2"/>
      <scheme val="minor"/>
    </font>
    <font>
      <sz val="12"/>
      <color theme="0"/>
      <name val="Calibri"/>
      <family val="2"/>
      <scheme val="minor"/>
    </font>
    <font>
      <sz val="8"/>
      <name val="Calibri"/>
      <family val="2"/>
      <scheme val="minor"/>
    </font>
    <font>
      <b/>
      <sz val="14"/>
      <color theme="1"/>
      <name val="Apple"/>
    </font>
    <font>
      <sz val="12"/>
      <color theme="6"/>
      <name val="Calibri"/>
      <family val="2"/>
      <scheme val="minor"/>
    </font>
    <font>
      <b/>
      <sz val="11"/>
      <color theme="6"/>
      <name val="Calibri"/>
      <family val="2"/>
      <scheme val="minor"/>
    </font>
    <font>
      <b/>
      <sz val="12"/>
      <color theme="6"/>
      <name val="Calibri"/>
      <family val="2"/>
      <scheme val="minor"/>
    </font>
    <font>
      <sz val="12"/>
      <color rgb="FF000000"/>
      <name val="Calibri"/>
      <family val="2"/>
    </font>
    <font>
      <i/>
      <sz val="12"/>
      <color theme="1"/>
      <name val="Calibri"/>
      <family val="2"/>
      <scheme val="minor"/>
    </font>
    <font>
      <u/>
      <sz val="12"/>
      <color theme="10"/>
      <name val="Calibri"/>
      <family val="2"/>
      <scheme val="minor"/>
    </font>
    <font>
      <b/>
      <u/>
      <sz val="18"/>
      <color theme="0"/>
      <name val="Calibri"/>
      <family val="2"/>
      <scheme val="minor"/>
    </font>
  </fonts>
  <fills count="8">
    <fill>
      <patternFill patternType="none"/>
    </fill>
    <fill>
      <patternFill patternType="gray125"/>
    </fill>
    <fill>
      <patternFill patternType="solid">
        <fgColor rgb="FF095B19"/>
        <bgColor indexed="64"/>
      </patternFill>
    </fill>
    <fill>
      <patternFill patternType="solid">
        <fgColor rgb="FFFFFFFF"/>
        <bgColor indexed="64"/>
      </patternFill>
    </fill>
    <fill>
      <patternFill patternType="solid">
        <fgColor rgb="FFEEEEEE"/>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2">
    <xf numFmtId="0" fontId="0" fillId="0" borderId="0"/>
    <xf numFmtId="0" fontId="29" fillId="0" borderId="0" applyNumberFormat="0" applyFill="0" applyBorder="0" applyAlignment="0" applyProtection="0"/>
  </cellStyleXfs>
  <cellXfs count="123">
    <xf numFmtId="0" fontId="0" fillId="0" borderId="0" xfId="0"/>
    <xf numFmtId="0" fontId="0" fillId="0" borderId="0" xfId="0" applyAlignment="1">
      <alignment wrapText="1"/>
    </xf>
    <xf numFmtId="0" fontId="0" fillId="0" borderId="1" xfId="0" applyBorder="1" applyAlignment="1">
      <alignment horizontal="left" wrapText="1"/>
    </xf>
    <xf numFmtId="0" fontId="0" fillId="0" borderId="0" xfId="0" applyAlignment="1">
      <alignment horizontal="left" wrapText="1"/>
    </xf>
    <xf numFmtId="0" fontId="0" fillId="0" borderId="0" xfId="0" applyAlignment="1">
      <alignment horizontal="left" vertical="center" wrapText="1"/>
    </xf>
    <xf numFmtId="0" fontId="3" fillId="0" borderId="0" xfId="0" applyFont="1"/>
    <xf numFmtId="0" fontId="0" fillId="0" borderId="0" xfId="0" applyBorder="1" applyAlignment="1">
      <alignment wrapText="1"/>
    </xf>
    <xf numFmtId="0" fontId="2" fillId="0" borderId="0" xfId="0" applyFont="1" applyBorder="1" applyAlignment="1">
      <alignment wrapText="1"/>
    </xf>
    <xf numFmtId="0" fontId="0" fillId="0" borderId="0" xfId="0" applyBorder="1" applyAlignment="1">
      <alignment horizontal="left" wrapText="1"/>
    </xf>
    <xf numFmtId="0" fontId="6" fillId="0" borderId="0" xfId="0" applyFont="1"/>
    <xf numFmtId="0" fontId="0" fillId="0" borderId="3" xfId="0" applyBorder="1" applyAlignment="1">
      <alignment wrapText="1"/>
    </xf>
    <xf numFmtId="0" fontId="5" fillId="0" borderId="10" xfId="0" applyFont="1" applyBorder="1" applyAlignment="1">
      <alignment wrapText="1"/>
    </xf>
    <xf numFmtId="0" fontId="5" fillId="0" borderId="3" xfId="0" applyFont="1" applyBorder="1" applyAlignment="1">
      <alignment wrapText="1"/>
    </xf>
    <xf numFmtId="0" fontId="7" fillId="2" borderId="9" xfId="0" applyFont="1" applyFill="1" applyBorder="1" applyAlignment="1">
      <alignment horizontal="center" wrapText="1"/>
    </xf>
    <xf numFmtId="0" fontId="7" fillId="2" borderId="15" xfId="0" applyFont="1" applyFill="1" applyBorder="1" applyAlignment="1">
      <alignment horizontal="center" wrapText="1"/>
    </xf>
    <xf numFmtId="0" fontId="8" fillId="2" borderId="3" xfId="0" applyFont="1" applyFill="1" applyBorder="1" applyAlignment="1">
      <alignment wrapText="1"/>
    </xf>
    <xf numFmtId="0" fontId="8" fillId="2" borderId="1" xfId="0" applyFont="1" applyFill="1" applyBorder="1" applyAlignment="1">
      <alignment horizontal="left" wrapText="1"/>
    </xf>
    <xf numFmtId="0" fontId="8" fillId="0" borderId="0" xfId="0" applyFont="1" applyFill="1"/>
    <xf numFmtId="0" fontId="7" fillId="2" borderId="14" xfId="0" applyFont="1" applyFill="1" applyBorder="1" applyAlignment="1">
      <alignment horizontal="center" vertical="center" wrapText="1"/>
    </xf>
    <xf numFmtId="0" fontId="7" fillId="2" borderId="10" xfId="0" applyFont="1" applyFill="1" applyBorder="1" applyAlignment="1">
      <alignment horizontal="center" vertical="center" wrapText="1"/>
    </xf>
    <xf numFmtId="0" fontId="0" fillId="0" borderId="19" xfId="0" applyBorder="1" applyAlignment="1">
      <alignment wrapText="1"/>
    </xf>
    <xf numFmtId="0" fontId="8" fillId="2" borderId="21" xfId="0" applyFont="1" applyFill="1" applyBorder="1" applyAlignment="1">
      <alignment wrapText="1"/>
    </xf>
    <xf numFmtId="0" fontId="8" fillId="2" borderId="20" xfId="0" applyFont="1" applyFill="1" applyBorder="1" applyAlignment="1">
      <alignment wrapText="1"/>
    </xf>
    <xf numFmtId="0" fontId="8" fillId="2" borderId="22" xfId="0" applyFont="1" applyFill="1" applyBorder="1" applyAlignment="1">
      <alignment wrapText="1"/>
    </xf>
    <xf numFmtId="0" fontId="9" fillId="0" borderId="0" xfId="0" applyFont="1" applyFill="1"/>
    <xf numFmtId="0" fontId="6" fillId="0" borderId="0" xfId="0" applyFont="1" applyAlignment="1">
      <alignment horizontal="left" vertical="center" wrapText="1"/>
    </xf>
    <xf numFmtId="0" fontId="3" fillId="0" borderId="0" xfId="0" applyFont="1" applyAlignment="1">
      <alignment wrapText="1"/>
    </xf>
    <xf numFmtId="0" fontId="3" fillId="0" borderId="0" xfId="0" applyFont="1" applyAlignment="1">
      <alignment horizontal="left" vertical="center" wrapText="1"/>
    </xf>
    <xf numFmtId="0" fontId="10" fillId="0" borderId="0" xfId="0" applyFont="1" applyAlignment="1">
      <alignment horizontal="left" vertical="center" wrapText="1"/>
    </xf>
    <xf numFmtId="0" fontId="11" fillId="0" borderId="17" xfId="0" applyFont="1" applyBorder="1" applyAlignment="1">
      <alignment wrapText="1"/>
    </xf>
    <xf numFmtId="0" fontId="12" fillId="0" borderId="0" xfId="0" applyFont="1" applyBorder="1" applyAlignment="1">
      <alignment wrapText="1"/>
    </xf>
    <xf numFmtId="0" fontId="13" fillId="0" borderId="0" xfId="0" applyFont="1" applyBorder="1" applyAlignment="1">
      <alignment wrapText="1"/>
    </xf>
    <xf numFmtId="0" fontId="14" fillId="0" borderId="0" xfId="0" applyFont="1"/>
    <xf numFmtId="0" fontId="12" fillId="0" borderId="0" xfId="0" applyFont="1"/>
    <xf numFmtId="0" fontId="15" fillId="0" borderId="0" xfId="0" applyFont="1" applyAlignment="1">
      <alignment wrapText="1"/>
    </xf>
    <xf numFmtId="0" fontId="16" fillId="0" borderId="0" xfId="0" applyFont="1" applyAlignment="1">
      <alignment wrapText="1"/>
    </xf>
    <xf numFmtId="164" fontId="12" fillId="0" borderId="0" xfId="0" applyNumberFormat="1" applyFont="1" applyAlignment="1">
      <alignment horizontal="center" wrapText="1"/>
    </xf>
    <xf numFmtId="0" fontId="16" fillId="4" borderId="0" xfId="0" applyFont="1" applyFill="1" applyAlignment="1"/>
    <xf numFmtId="0" fontId="16" fillId="3" borderId="0" xfId="0" applyFont="1" applyFill="1" applyAlignment="1"/>
    <xf numFmtId="0" fontId="12" fillId="0" borderId="0" xfId="0" applyFont="1" applyAlignment="1">
      <alignment wrapText="1"/>
    </xf>
    <xf numFmtId="164" fontId="16" fillId="4" borderId="0" xfId="0" applyNumberFormat="1" applyFont="1" applyFill="1" applyAlignment="1"/>
    <xf numFmtId="164" fontId="16" fillId="3" borderId="0" xfId="0" applyNumberFormat="1" applyFont="1" applyFill="1" applyAlignment="1"/>
    <xf numFmtId="0" fontId="15" fillId="3" borderId="0" xfId="0" applyFont="1" applyFill="1" applyAlignment="1">
      <alignment horizontal="right"/>
    </xf>
    <xf numFmtId="0" fontId="8" fillId="5" borderId="20" xfId="0" applyFont="1" applyFill="1" applyBorder="1" applyAlignment="1">
      <alignment wrapText="1"/>
    </xf>
    <xf numFmtId="0" fontId="18" fillId="0" borderId="0" xfId="0" applyFont="1"/>
    <xf numFmtId="0" fontId="0" fillId="0" borderId="1" xfId="0" applyBorder="1"/>
    <xf numFmtId="0" fontId="17" fillId="0" borderId="1" xfId="0" applyFont="1" applyBorder="1" applyAlignment="1">
      <alignment wrapText="1"/>
    </xf>
    <xf numFmtId="0" fontId="17" fillId="0" borderId="11" xfId="0" applyFont="1" applyBorder="1" applyAlignment="1">
      <alignment wrapText="1"/>
    </xf>
    <xf numFmtId="0" fontId="1" fillId="0" borderId="10" xfId="0" applyFont="1" applyBorder="1" applyAlignment="1">
      <alignment vertical="center" wrapText="1"/>
    </xf>
    <xf numFmtId="0" fontId="0" fillId="0" borderId="10" xfId="0" applyFont="1" applyBorder="1" applyAlignment="1">
      <alignment wrapText="1"/>
    </xf>
    <xf numFmtId="0" fontId="17" fillId="0" borderId="1" xfId="0" applyFont="1" applyBorder="1" applyAlignment="1">
      <alignment vertical="center" wrapText="1"/>
    </xf>
    <xf numFmtId="0" fontId="17" fillId="0" borderId="11" xfId="0" applyFont="1" applyBorder="1" applyAlignment="1">
      <alignment vertical="center" wrapText="1"/>
    </xf>
    <xf numFmtId="0" fontId="0" fillId="0" borderId="12" xfId="0" applyFont="1" applyBorder="1" applyAlignment="1">
      <alignment wrapText="1"/>
    </xf>
    <xf numFmtId="0" fontId="20" fillId="0" borderId="1" xfId="0" applyFont="1" applyBorder="1" applyAlignment="1">
      <alignment vertical="center" wrapText="1"/>
    </xf>
    <xf numFmtId="0" fontId="20" fillId="0" borderId="11" xfId="0" applyFont="1" applyBorder="1" applyAlignment="1">
      <alignment vertical="center" wrapText="1"/>
    </xf>
    <xf numFmtId="0" fontId="20" fillId="0" borderId="10" xfId="0" applyFont="1" applyBorder="1" applyAlignment="1">
      <alignment wrapText="1"/>
    </xf>
    <xf numFmtId="0" fontId="20" fillId="0" borderId="1" xfId="0" applyFont="1" applyBorder="1" applyAlignment="1">
      <alignment wrapText="1"/>
    </xf>
    <xf numFmtId="0" fontId="20" fillId="0" borderId="11" xfId="0" applyFont="1" applyBorder="1" applyAlignment="1">
      <alignment wrapText="1"/>
    </xf>
    <xf numFmtId="0" fontId="20" fillId="0" borderId="4" xfId="0" applyFont="1" applyBorder="1" applyAlignment="1">
      <alignment wrapText="1"/>
    </xf>
    <xf numFmtId="0" fontId="20" fillId="0" borderId="18" xfId="0" applyFont="1" applyBorder="1" applyAlignment="1">
      <alignment wrapText="1"/>
    </xf>
    <xf numFmtId="0" fontId="20" fillId="0" borderId="17" xfId="0" applyFont="1" applyBorder="1" applyAlignment="1">
      <alignment wrapText="1"/>
    </xf>
    <xf numFmtId="0" fontId="20" fillId="6" borderId="4" xfId="0" applyFont="1" applyFill="1" applyBorder="1" applyAlignment="1">
      <alignment wrapText="1"/>
    </xf>
    <xf numFmtId="0" fontId="20" fillId="6" borderId="18" xfId="0" applyFont="1" applyFill="1" applyBorder="1" applyAlignment="1">
      <alignment wrapText="1"/>
    </xf>
    <xf numFmtId="0" fontId="0" fillId="0" borderId="1" xfId="0" applyFont="1" applyBorder="1" applyAlignment="1">
      <alignment wrapText="1"/>
    </xf>
    <xf numFmtId="0" fontId="18" fillId="0" borderId="1" xfId="0" applyFont="1" applyBorder="1" applyAlignment="1">
      <alignment horizontal="left" wrapText="1"/>
    </xf>
    <xf numFmtId="0" fontId="21" fillId="2" borderId="0" xfId="0" applyFont="1" applyFill="1"/>
    <xf numFmtId="0" fontId="21" fillId="2" borderId="1" xfId="0" applyFont="1" applyFill="1" applyBorder="1"/>
    <xf numFmtId="0" fontId="23" fillId="7" borderId="1" xfId="0" applyFont="1" applyFill="1" applyBorder="1" applyAlignment="1">
      <alignment horizontal="right" wrapText="1"/>
    </xf>
    <xf numFmtId="0" fontId="12" fillId="7" borderId="1" xfId="0" applyFont="1" applyFill="1" applyBorder="1" applyAlignment="1">
      <alignment wrapText="1"/>
    </xf>
    <xf numFmtId="0" fontId="14" fillId="5" borderId="1" xfId="0" applyFont="1" applyFill="1" applyBorder="1" applyAlignment="1">
      <alignment horizontal="left" wrapText="1"/>
    </xf>
    <xf numFmtId="1" fontId="14" fillId="0" borderId="1" xfId="0" applyNumberFormat="1" applyFont="1" applyBorder="1" applyAlignment="1">
      <alignment wrapText="1"/>
    </xf>
    <xf numFmtId="0" fontId="14" fillId="0" borderId="1" xfId="0" applyFont="1" applyBorder="1" applyAlignment="1">
      <alignment wrapText="1"/>
    </xf>
    <xf numFmtId="0" fontId="25" fillId="2" borderId="16" xfId="0" applyFont="1" applyFill="1" applyBorder="1" applyAlignment="1">
      <alignment horizontal="left" vertical="center" wrapText="1"/>
    </xf>
    <xf numFmtId="0" fontId="25" fillId="2" borderId="3" xfId="0" applyFont="1" applyFill="1" applyBorder="1" applyAlignment="1">
      <alignment horizontal="left" vertical="center" wrapText="1"/>
    </xf>
    <xf numFmtId="0" fontId="26" fillId="2" borderId="1" xfId="0" applyFont="1" applyFill="1" applyBorder="1" applyAlignment="1">
      <alignment horizontal="left" wrapText="1"/>
    </xf>
    <xf numFmtId="0" fontId="17" fillId="0" borderId="10" xfId="0" applyFont="1" applyBorder="1" applyAlignment="1" applyProtection="1">
      <alignment wrapText="1"/>
      <protection locked="0"/>
    </xf>
    <xf numFmtId="0" fontId="17" fillId="6" borderId="1" xfId="0" applyFont="1" applyFill="1" applyBorder="1" applyAlignment="1" applyProtection="1">
      <alignment wrapText="1"/>
      <protection locked="0"/>
    </xf>
    <xf numFmtId="0" fontId="17" fillId="0" borderId="11" xfId="0" applyFont="1" applyBorder="1" applyAlignment="1" applyProtection="1">
      <alignment wrapText="1"/>
      <protection locked="0"/>
    </xf>
    <xf numFmtId="0" fontId="17" fillId="0" borderId="1" xfId="0" applyFont="1" applyBorder="1" applyAlignment="1" applyProtection="1">
      <alignment wrapText="1"/>
      <protection locked="0"/>
    </xf>
    <xf numFmtId="0" fontId="19" fillId="0" borderId="10" xfId="0" applyFont="1" applyBorder="1" applyAlignment="1" applyProtection="1">
      <alignment wrapText="1"/>
      <protection locked="0"/>
    </xf>
    <xf numFmtId="0" fontId="19" fillId="6" borderId="1" xfId="0" applyFont="1" applyFill="1" applyBorder="1" applyAlignment="1" applyProtection="1">
      <alignment wrapText="1"/>
      <protection locked="0"/>
    </xf>
    <xf numFmtId="0" fontId="19" fillId="0" borderId="11" xfId="0" applyFont="1" applyBorder="1" applyAlignment="1" applyProtection="1">
      <alignment wrapText="1"/>
      <protection locked="0"/>
    </xf>
    <xf numFmtId="0" fontId="17" fillId="6" borderId="10" xfId="0" applyFont="1" applyFill="1" applyBorder="1" applyAlignment="1" applyProtection="1">
      <alignment wrapText="1"/>
      <protection locked="0"/>
    </xf>
    <xf numFmtId="0" fontId="17" fillId="6" borderId="11" xfId="0" applyFont="1" applyFill="1" applyBorder="1" applyAlignment="1" applyProtection="1">
      <alignment wrapText="1"/>
      <protection locked="0"/>
    </xf>
    <xf numFmtId="0" fontId="14" fillId="5" borderId="1" xfId="0" applyFont="1" applyFill="1" applyBorder="1" applyAlignment="1" applyProtection="1">
      <alignment wrapText="1"/>
      <protection hidden="1"/>
    </xf>
    <xf numFmtId="16" fontId="17" fillId="6" borderId="1" xfId="0" applyNumberFormat="1" applyFont="1" applyFill="1" applyBorder="1" applyAlignment="1" applyProtection="1">
      <alignment wrapText="1"/>
      <protection locked="0"/>
    </xf>
    <xf numFmtId="0" fontId="7" fillId="2" borderId="8" xfId="0" applyFont="1" applyFill="1" applyBorder="1" applyAlignment="1">
      <alignment horizontal="center" wrapText="1"/>
    </xf>
    <xf numFmtId="0" fontId="8" fillId="2" borderId="3" xfId="0" applyFont="1" applyFill="1" applyBorder="1" applyAlignment="1">
      <alignment horizontal="left" wrapText="1"/>
    </xf>
    <xf numFmtId="0" fontId="28" fillId="0" borderId="0" xfId="0" applyFont="1"/>
    <xf numFmtId="0" fontId="29" fillId="0" borderId="0" xfId="1"/>
    <xf numFmtId="0" fontId="7" fillId="2" borderId="7" xfId="0" applyFont="1" applyFill="1" applyBorder="1" applyAlignment="1">
      <alignment wrapText="1"/>
    </xf>
    <xf numFmtId="0" fontId="7" fillId="2" borderId="13" xfId="0" applyFont="1" applyFill="1" applyBorder="1" applyAlignment="1">
      <alignment wrapText="1"/>
    </xf>
    <xf numFmtId="0" fontId="30" fillId="2" borderId="9" xfId="1" applyFont="1" applyFill="1" applyBorder="1" applyAlignment="1">
      <alignment horizontal="center" wrapText="1"/>
    </xf>
    <xf numFmtId="0" fontId="4" fillId="2" borderId="16" xfId="0" applyFont="1" applyFill="1" applyBorder="1" applyAlignment="1">
      <alignment horizontal="left" vertical="center" wrapText="1"/>
    </xf>
    <xf numFmtId="0" fontId="7" fillId="2" borderId="16" xfId="0" applyFont="1" applyFill="1" applyBorder="1" applyAlignment="1">
      <alignment horizontal="left" wrapText="1"/>
    </xf>
    <xf numFmtId="0" fontId="7" fillId="2" borderId="3" xfId="0" applyFont="1" applyFill="1" applyBorder="1" applyAlignment="1">
      <alignment horizontal="center" vertical="center" wrapText="1"/>
    </xf>
    <xf numFmtId="0" fontId="24" fillId="0" borderId="5" xfId="0" applyFont="1" applyBorder="1" applyAlignment="1">
      <alignment horizontal="left" wrapText="1"/>
    </xf>
    <xf numFmtId="0" fontId="0" fillId="0" borderId="5" xfId="0" applyBorder="1" applyAlignment="1">
      <alignment horizontal="left" wrapText="1"/>
    </xf>
    <xf numFmtId="0" fontId="0" fillId="0" borderId="5" xfId="0" applyBorder="1" applyAlignment="1">
      <alignment horizontal="left" wrapText="1"/>
    </xf>
    <xf numFmtId="0" fontId="24" fillId="0" borderId="5" xfId="0" applyFont="1" applyBorder="1" applyAlignment="1">
      <alignment horizontal="left" wrapText="1"/>
    </xf>
    <xf numFmtId="0" fontId="4" fillId="2" borderId="16" xfId="0" applyFont="1" applyFill="1" applyBorder="1" applyAlignment="1">
      <alignment horizontal="left" vertical="center" wrapText="1"/>
    </xf>
    <xf numFmtId="0" fontId="17" fillId="0" borderId="10" xfId="0" applyFont="1" applyBorder="1" applyAlignment="1" applyProtection="1">
      <alignment vertical="center" wrapText="1"/>
      <protection locked="0"/>
    </xf>
    <xf numFmtId="0" fontId="17" fillId="6" borderId="1" xfId="0" applyFont="1" applyFill="1" applyBorder="1" applyAlignment="1" applyProtection="1">
      <alignment vertical="center" wrapText="1"/>
      <protection locked="0"/>
    </xf>
    <xf numFmtId="0" fontId="0" fillId="0" borderId="4" xfId="0" applyBorder="1" applyAlignment="1">
      <alignment horizontal="left" wrapText="1"/>
    </xf>
    <xf numFmtId="0" fontId="0" fillId="0" borderId="5" xfId="0" applyBorder="1" applyAlignment="1">
      <alignment horizontal="left" wrapText="1"/>
    </xf>
    <xf numFmtId="0" fontId="0" fillId="0" borderId="6" xfId="0" applyBorder="1" applyAlignment="1">
      <alignment horizontal="left" wrapText="1"/>
    </xf>
    <xf numFmtId="0" fontId="24" fillId="0" borderId="4" xfId="0" applyFont="1" applyBorder="1" applyAlignment="1">
      <alignment horizontal="left" wrapText="1"/>
    </xf>
    <xf numFmtId="0" fontId="24" fillId="0" borderId="5" xfId="0" applyFont="1" applyBorder="1" applyAlignment="1">
      <alignment horizontal="left" wrapText="1"/>
    </xf>
    <xf numFmtId="0" fontId="24" fillId="0" borderId="6" xfId="0" applyFont="1" applyBorder="1" applyAlignment="1">
      <alignment horizontal="left" wrapText="1"/>
    </xf>
    <xf numFmtId="0" fontId="4" fillId="2" borderId="13" xfId="0" applyFont="1" applyFill="1" applyBorder="1" applyAlignment="1">
      <alignment horizontal="left" vertical="center" wrapText="1"/>
    </xf>
    <xf numFmtId="0" fontId="4" fillId="2" borderId="16" xfId="0" applyFont="1" applyFill="1" applyBorder="1" applyAlignment="1">
      <alignment horizontal="left" vertical="center" wrapText="1"/>
    </xf>
    <xf numFmtId="0" fontId="3" fillId="5" borderId="2" xfId="0" applyFont="1" applyFill="1" applyBorder="1" applyAlignment="1" applyProtection="1">
      <alignment horizontal="center" wrapText="1"/>
      <protection hidden="1"/>
    </xf>
    <xf numFmtId="0" fontId="3" fillId="5" borderId="16" xfId="0" applyFont="1" applyFill="1" applyBorder="1" applyAlignment="1" applyProtection="1">
      <alignment horizontal="center" wrapText="1"/>
      <protection hidden="1"/>
    </xf>
    <xf numFmtId="0" fontId="3" fillId="5" borderId="3" xfId="0" applyFont="1" applyFill="1" applyBorder="1" applyAlignment="1" applyProtection="1">
      <alignment horizontal="center" wrapText="1"/>
      <protection hidden="1"/>
    </xf>
    <xf numFmtId="0" fontId="7" fillId="2" borderId="13" xfId="0" applyFont="1" applyFill="1" applyBorder="1" applyAlignment="1">
      <alignment horizontal="center" vertical="center" wrapText="1"/>
    </xf>
    <xf numFmtId="0" fontId="7" fillId="2" borderId="3" xfId="0" applyFont="1" applyFill="1" applyBorder="1" applyAlignment="1">
      <alignment horizontal="center" vertical="center" wrapText="1"/>
    </xf>
    <xf numFmtId="0" fontId="0" fillId="3" borderId="4" xfId="0" applyFill="1" applyBorder="1" applyAlignment="1">
      <alignment horizontal="left" wrapText="1"/>
    </xf>
    <xf numFmtId="0" fontId="0" fillId="3" borderId="5" xfId="0" applyFill="1" applyBorder="1" applyAlignment="1">
      <alignment horizontal="left" wrapText="1"/>
    </xf>
    <xf numFmtId="0" fontId="7" fillId="2" borderId="16" xfId="0" applyFont="1" applyFill="1" applyBorder="1" applyAlignment="1">
      <alignment horizontal="left" wrapText="1"/>
    </xf>
    <xf numFmtId="0" fontId="4" fillId="2" borderId="13" xfId="0" applyFont="1" applyFill="1" applyBorder="1" applyAlignment="1">
      <alignment vertical="center" wrapText="1"/>
    </xf>
    <xf numFmtId="0" fontId="4" fillId="2" borderId="16" xfId="0" applyFont="1" applyFill="1" applyBorder="1" applyAlignment="1">
      <alignment vertical="center" wrapText="1"/>
    </xf>
    <xf numFmtId="0" fontId="4" fillId="2" borderId="3" xfId="0" applyFont="1" applyFill="1" applyBorder="1" applyAlignment="1">
      <alignment vertical="center" wrapText="1"/>
    </xf>
    <xf numFmtId="0" fontId="0" fillId="3" borderId="6" xfId="0" applyFill="1" applyBorder="1" applyAlignment="1">
      <alignment horizontal="left" wrapText="1"/>
    </xf>
  </cellXfs>
  <cellStyles count="2">
    <cellStyle name="Hyperlink" xfId="1" builtinId="8"/>
    <cellStyle name="Standaard" xfId="0" builtinId="0"/>
  </cellStyles>
  <dxfs count="0"/>
  <tableStyles count="0" defaultTableStyle="TableStyleMedium2" defaultPivotStyle="PivotStyleLight16"/>
  <colors>
    <mruColors>
      <color rgb="FF095B1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3.xml"/><Relationship Id="rId4" Type="http://schemas.openxmlformats.org/officeDocument/2006/relationships/styles" Target="styles.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Config!F2"/></Relationships>
</file>

<file path=xl/drawings/drawing1.xml><?xml version="1.0" encoding="utf-8"?>
<xdr:wsDr xmlns:xdr="http://schemas.openxmlformats.org/drawingml/2006/spreadsheetDrawing" xmlns:a="http://schemas.openxmlformats.org/drawingml/2006/main">
  <xdr:twoCellAnchor editAs="oneCell">
    <xdr:from>
      <xdr:col>5</xdr:col>
      <xdr:colOff>152400</xdr:colOff>
      <xdr:row>6</xdr:row>
      <xdr:rowOff>114300</xdr:rowOff>
    </xdr:from>
    <xdr:to>
      <xdr:col>6</xdr:col>
      <xdr:colOff>190500</xdr:colOff>
      <xdr:row>8</xdr:row>
      <xdr:rowOff>97790</xdr:rowOff>
    </xdr:to>
    <xdr:sp macro="" textlink="">
      <xdr:nvSpPr>
        <xdr:cNvPr id="2049" name="CommandButton1" hidden="1">
          <a:extLst>
            <a:ext uri="{63B3BB69-23CF-44E3-9099-C40C66FF867C}">
              <a14:compatExt xmlns:a14="http://schemas.microsoft.com/office/drawing/2010/main"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76200</xdr:colOff>
      <xdr:row>3</xdr:row>
      <xdr:rowOff>114300</xdr:rowOff>
    </xdr:from>
    <xdr:to>
      <xdr:col>6</xdr:col>
      <xdr:colOff>245110</xdr:colOff>
      <xdr:row>5</xdr:row>
      <xdr:rowOff>59690</xdr:rowOff>
    </xdr:to>
    <xdr:sp macro="" textlink="">
      <xdr:nvSpPr>
        <xdr:cNvPr id="2050" name="CommandButton2" hidden="1">
          <a:extLst>
            <a:ext uri="{63B3BB69-23CF-44E3-9099-C40C66FF867C}">
              <a14:compatExt xmlns:a14="http://schemas.microsoft.com/office/drawing/2010/main"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5</xdr:col>
          <xdr:colOff>99060</xdr:colOff>
          <xdr:row>2</xdr:row>
          <xdr:rowOff>106680</xdr:rowOff>
        </xdr:from>
        <xdr:to>
          <xdr:col>6</xdr:col>
          <xdr:colOff>777240</xdr:colOff>
          <xdr:row>4</xdr:row>
          <xdr:rowOff>129540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200" b="0" i="0" u="none" strike="noStrike" baseline="0">
                  <a:solidFill>
                    <a:srgbClr val="000000"/>
                  </a:solidFill>
                  <a:latin typeface="Calibri"/>
                  <a:cs typeface="Calibri"/>
                </a:rPr>
                <a:t>Maak tabblad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129540</xdr:colOff>
          <xdr:row>7</xdr:row>
          <xdr:rowOff>99060</xdr:rowOff>
        </xdr:from>
        <xdr:to>
          <xdr:col>6</xdr:col>
          <xdr:colOff>815340</xdr:colOff>
          <xdr:row>9</xdr:row>
          <xdr:rowOff>106680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200" b="0" i="0" u="none" strike="noStrike" baseline="0">
                  <a:solidFill>
                    <a:srgbClr val="000000"/>
                  </a:solidFill>
                  <a:latin typeface="Calibri"/>
                  <a:cs typeface="Calibri"/>
                </a:rPr>
                <a:t>Hernoem tabbladen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129540</xdr:colOff>
          <xdr:row>12</xdr:row>
          <xdr:rowOff>15240</xdr:rowOff>
        </xdr:from>
        <xdr:to>
          <xdr:col>6</xdr:col>
          <xdr:colOff>815340</xdr:colOff>
          <xdr:row>13</xdr:row>
          <xdr:rowOff>175260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200" b="0" i="0" u="none" strike="noStrike" baseline="0">
                  <a:solidFill>
                    <a:srgbClr val="000000"/>
                  </a:solidFill>
                  <a:latin typeface="Calibri"/>
                  <a:cs typeface="Calibri"/>
                </a:rPr>
                <a:t>PDF maken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476251</xdr:colOff>
      <xdr:row>0</xdr:row>
      <xdr:rowOff>18676</xdr:rowOff>
    </xdr:from>
    <xdr:to>
      <xdr:col>0</xdr:col>
      <xdr:colOff>1087109</xdr:colOff>
      <xdr:row>2</xdr:row>
      <xdr:rowOff>19497</xdr:rowOff>
    </xdr:to>
    <xdr:pic>
      <xdr:nvPicPr>
        <xdr:cNvPr id="2" name="Afbeelding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76251" y="18676"/>
          <a:ext cx="614668" cy="609973"/>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495300</xdr:colOff>
          <xdr:row>45</xdr:row>
          <xdr:rowOff>68580</xdr:rowOff>
        </xdr:from>
        <xdr:to>
          <xdr:col>6</xdr:col>
          <xdr:colOff>952500</xdr:colOff>
          <xdr:row>46</xdr:row>
          <xdr:rowOff>213360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200" b="0" i="0" u="none" strike="noStrike" baseline="0">
                  <a:solidFill>
                    <a:srgbClr val="000000"/>
                  </a:solidFill>
                  <a:latin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VGT"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7B2C0-BA5B-4466-AFC3-42661E92A514}">
  <sheetPr codeName="Blad2"/>
  <dimension ref="A1:I28"/>
  <sheetViews>
    <sheetView zoomScaleNormal="100" workbookViewId="0">
      <selection activeCell="C4" sqref="C4"/>
    </sheetView>
  </sheetViews>
  <sheetFormatPr defaultColWidth="8.796875" defaultRowHeight="15.6"/>
  <cols>
    <col min="1" max="1" width="24.59765625" style="65" bestFit="1" customWidth="1"/>
    <col min="2" max="2" width="14" bestFit="1" customWidth="1"/>
    <col min="3" max="3" width="21" customWidth="1"/>
    <col min="4" max="4" width="9.796875" style="65" bestFit="1" customWidth="1"/>
    <col min="6" max="6" width="17.5" bestFit="1" customWidth="1"/>
    <col min="7" max="7" width="13" bestFit="1" customWidth="1"/>
  </cols>
  <sheetData>
    <row r="1" spans="1:9">
      <c r="A1" s="66" t="str">
        <f t="shared" ref="A1" si="0">B1&amp;" "&amp;C1</f>
        <v>Voor 01 Achternaam 01</v>
      </c>
      <c r="B1" s="45" t="s">
        <v>152</v>
      </c>
      <c r="C1" s="45" t="s">
        <v>153</v>
      </c>
      <c r="D1" s="65" t="e" cm="1">
        <f t="array" aca="1" ref="D1" ca="1">INDIRECT("'"&amp;SHEETNAME(2) &amp;"'!H41")</f>
        <v>#NAME?</v>
      </c>
      <c r="E1" t="s">
        <v>63</v>
      </c>
      <c r="F1" s="44"/>
      <c r="H1" s="44" t="s">
        <v>58</v>
      </c>
    </row>
    <row r="2" spans="1:9">
      <c r="A2" s="66" t="str">
        <f t="shared" ref="A2:A28" si="1">B2&amp;" "&amp;C2</f>
        <v>Voor 02 Achternaam 02</v>
      </c>
      <c r="B2" s="45" t="s">
        <v>154</v>
      </c>
      <c r="C2" s="45" t="s">
        <v>155</v>
      </c>
      <c r="D2" s="65" t="e" cm="1">
        <f t="array" aca="1" ref="D2" ca="1">INDIRECT("'"&amp;SHEETNAME(13) &amp;"'!H41")</f>
        <v>#NAME?</v>
      </c>
      <c r="E2" t="s">
        <v>63</v>
      </c>
      <c r="F2" s="44"/>
      <c r="H2" t="s">
        <v>60</v>
      </c>
    </row>
    <row r="3" spans="1:9">
      <c r="A3" s="66" t="str">
        <f t="shared" si="1"/>
        <v>Voor 03 Achternaam 03</v>
      </c>
      <c r="B3" s="45" t="s">
        <v>156</v>
      </c>
      <c r="C3" s="45" t="s">
        <v>157</v>
      </c>
      <c r="D3" s="65" t="e" cm="1">
        <f t="array" aca="1" ref="D3" ca="1">INDIRECT("'"&amp;SHEETNAME(23) &amp;"'!H41")</f>
        <v>#NAME?</v>
      </c>
      <c r="E3" t="s">
        <v>63</v>
      </c>
      <c r="H3" t="s">
        <v>57</v>
      </c>
      <c r="I3" t="s">
        <v>105</v>
      </c>
    </row>
    <row r="4" spans="1:9">
      <c r="A4" s="66" t="str">
        <f t="shared" si="1"/>
        <v>Voor 04 Achternaam 04</v>
      </c>
      <c r="B4" s="45" t="s">
        <v>158</v>
      </c>
      <c r="C4" s="45" t="s">
        <v>164</v>
      </c>
      <c r="D4" s="65" t="e" cm="1">
        <f t="array" aca="1" ref="D4" ca="1">INDIRECT("'"&amp;SHEETNAME(24) &amp;"'!H41")</f>
        <v>#NAME?</v>
      </c>
      <c r="E4" t="s">
        <v>63</v>
      </c>
    </row>
    <row r="5" spans="1:9">
      <c r="A5" s="66" t="str">
        <f t="shared" si="1"/>
        <v>Voor 05 Achternaam 05</v>
      </c>
      <c r="B5" s="45" t="s">
        <v>163</v>
      </c>
      <c r="C5" s="45" t="s">
        <v>165</v>
      </c>
      <c r="D5" s="65" t="e" cm="1">
        <f t="array" aca="1" ref="D5" ca="1">INDIRECT("'"&amp;SHEETNAME(25) &amp;"'!H41")</f>
        <v>#NAME?</v>
      </c>
      <c r="E5" t="s">
        <v>63</v>
      </c>
      <c r="H5" t="s">
        <v>59</v>
      </c>
    </row>
    <row r="6" spans="1:9">
      <c r="A6" s="66" t="str">
        <f t="shared" si="1"/>
        <v>Voor 06 Achternaam 06</v>
      </c>
      <c r="B6" s="45" t="s">
        <v>159</v>
      </c>
      <c r="C6" s="45" t="s">
        <v>166</v>
      </c>
      <c r="D6" s="65" t="e" cm="1">
        <f t="array" aca="1" ref="D6" ca="1">INDIRECT("'"&amp;SHEETNAME(26) &amp;"'!H41")</f>
        <v>#NAME?</v>
      </c>
      <c r="E6" t="s">
        <v>63</v>
      </c>
    </row>
    <row r="7" spans="1:9">
      <c r="A7" s="66" t="str">
        <f t="shared" si="1"/>
        <v>Voor 07 Achternaam 07</v>
      </c>
      <c r="B7" s="45" t="s">
        <v>160</v>
      </c>
      <c r="C7" s="45" t="s">
        <v>167</v>
      </c>
      <c r="D7" s="65" t="e" cm="1">
        <f t="array" aca="1" ref="D7" ca="1">INDIRECT("'"&amp;SHEETNAME(27) &amp;"'!H41")</f>
        <v>#NAME?</v>
      </c>
      <c r="E7" t="s">
        <v>63</v>
      </c>
    </row>
    <row r="8" spans="1:9">
      <c r="A8" s="66" t="str">
        <f t="shared" si="1"/>
        <v>Voor 08 Achternaam 08</v>
      </c>
      <c r="B8" s="45" t="s">
        <v>161</v>
      </c>
      <c r="C8" s="45" t="s">
        <v>168</v>
      </c>
      <c r="D8" s="65" t="e" cm="1">
        <f t="array" aca="1" ref="D8" ca="1">INDIRECT("'"&amp;SHEETNAME(28) &amp;"'!H41")</f>
        <v>#NAME?</v>
      </c>
      <c r="E8" t="s">
        <v>63</v>
      </c>
      <c r="H8" t="s">
        <v>107</v>
      </c>
    </row>
    <row r="9" spans="1:9">
      <c r="A9" s="66" t="str">
        <f t="shared" si="1"/>
        <v>Voor 09 Achternaam 09</v>
      </c>
      <c r="B9" s="45" t="s">
        <v>162</v>
      </c>
      <c r="C9" s="45" t="s">
        <v>169</v>
      </c>
      <c r="D9" s="65" t="e" cm="1">
        <f t="array" aca="1" ref="D9" ca="1">INDIRECT("'"&amp;SHEETNAME(29) &amp;"'!H41")</f>
        <v>#NAME?</v>
      </c>
      <c r="E9" t="s">
        <v>63</v>
      </c>
      <c r="H9" t="s">
        <v>111</v>
      </c>
    </row>
    <row r="10" spans="1:9">
      <c r="A10" s="66" t="str">
        <f t="shared" si="1"/>
        <v>Voor 10 Achternaam 10</v>
      </c>
      <c r="B10" s="45" t="s">
        <v>67</v>
      </c>
      <c r="C10" s="45" t="s">
        <v>86</v>
      </c>
      <c r="D10" s="65" t="e" cm="1">
        <f t="array" aca="1" ref="D10" ca="1">INDIRECT("'"&amp;SHEETNAME(3) &amp;"'!H41")</f>
        <v>#NAME?</v>
      </c>
      <c r="E10" t="s">
        <v>63</v>
      </c>
      <c r="H10" t="s">
        <v>112</v>
      </c>
    </row>
    <row r="11" spans="1:9">
      <c r="A11" s="66" t="str">
        <f t="shared" si="1"/>
        <v>Voor 11 Achternaam 11</v>
      </c>
      <c r="B11" s="45" t="s">
        <v>68</v>
      </c>
      <c r="C11" s="45" t="s">
        <v>87</v>
      </c>
      <c r="D11" s="65" t="e" cm="1">
        <f t="array" aca="1" ref="D11" ca="1">INDIRECT("'"&amp;SHEETNAME(4) &amp;"'!H41")</f>
        <v>#NAME?</v>
      </c>
      <c r="E11" t="s">
        <v>63</v>
      </c>
    </row>
    <row r="12" spans="1:9">
      <c r="A12" s="66" t="str">
        <f t="shared" si="1"/>
        <v>Voor 12 Achternaam 12</v>
      </c>
      <c r="B12" s="45" t="s">
        <v>69</v>
      </c>
      <c r="C12" s="45" t="s">
        <v>88</v>
      </c>
      <c r="D12" s="65" t="e" cm="1">
        <f t="array" aca="1" ref="D12" ca="1">INDIRECT("'"&amp;SHEETNAME(5) &amp;"'!H41")</f>
        <v>#NAME?</v>
      </c>
      <c r="E12" t="s">
        <v>63</v>
      </c>
    </row>
    <row r="13" spans="1:9">
      <c r="A13" s="66" t="str">
        <f t="shared" si="1"/>
        <v>Voor 13 Achternaam 13</v>
      </c>
      <c r="B13" s="45" t="s">
        <v>70</v>
      </c>
      <c r="C13" s="45" t="s">
        <v>89</v>
      </c>
      <c r="D13" s="65" t="e" cm="1">
        <f t="array" aca="1" ref="D13" ca="1">INDIRECT("'"&amp;SHEETNAME(6) &amp;"'!H41")</f>
        <v>#NAME?</v>
      </c>
      <c r="E13" t="s">
        <v>63</v>
      </c>
      <c r="H13" t="s">
        <v>106</v>
      </c>
    </row>
    <row r="14" spans="1:9">
      <c r="A14" s="66" t="str">
        <f t="shared" si="1"/>
        <v>Voor 14 Achternaam 14</v>
      </c>
      <c r="B14" s="45" t="s">
        <v>71</v>
      </c>
      <c r="C14" s="45" t="s">
        <v>90</v>
      </c>
      <c r="D14" s="65" t="e" cm="1">
        <f t="array" aca="1" ref="D14" ca="1">INDIRECT("'"&amp;SHEETNAME(7) &amp;"'!H41")</f>
        <v>#NAME?</v>
      </c>
      <c r="E14" t="s">
        <v>63</v>
      </c>
      <c r="H14" t="s">
        <v>108</v>
      </c>
      <c r="I14" s="89" t="s">
        <v>109</v>
      </c>
    </row>
    <row r="15" spans="1:9">
      <c r="A15" s="66" t="str">
        <f t="shared" si="1"/>
        <v>Voor 15 Achternaam 15</v>
      </c>
      <c r="B15" s="45" t="s">
        <v>72</v>
      </c>
      <c r="C15" s="45" t="s">
        <v>91</v>
      </c>
      <c r="D15" s="65" t="e" cm="1">
        <f t="array" aca="1" ref="D15" ca="1">INDIRECT("'"&amp;SHEETNAME(8) &amp;"'!H41")</f>
        <v>#NAME?</v>
      </c>
      <c r="E15" t="s">
        <v>63</v>
      </c>
    </row>
    <row r="16" spans="1:9">
      <c r="A16" s="66" t="str">
        <f t="shared" si="1"/>
        <v>Voor 16 Achternaam 16</v>
      </c>
      <c r="B16" s="45" t="s">
        <v>73</v>
      </c>
      <c r="C16" s="45" t="s">
        <v>92</v>
      </c>
      <c r="D16" s="65" t="e" cm="1">
        <f t="array" aca="1" ref="D16" ca="1">INDIRECT("'"&amp;SHEETNAME(9) &amp;"'!H41")</f>
        <v>#NAME?</v>
      </c>
      <c r="E16" t="s">
        <v>63</v>
      </c>
      <c r="F16" s="88" t="s">
        <v>110</v>
      </c>
    </row>
    <row r="17" spans="1:7">
      <c r="A17" s="66" t="str">
        <f t="shared" si="1"/>
        <v>Voor 17 Achternaam 17</v>
      </c>
      <c r="B17" s="45" t="s">
        <v>74</v>
      </c>
      <c r="C17" s="45" t="s">
        <v>93</v>
      </c>
      <c r="D17" s="65" t="e" cm="1">
        <f t="array" aca="1" ref="D17" ca="1">INDIRECT("'"&amp;SHEETNAME(10) &amp;"'!H41")</f>
        <v>#NAME?</v>
      </c>
      <c r="E17" t="s">
        <v>63</v>
      </c>
      <c r="F17" s="44" t="s">
        <v>64</v>
      </c>
      <c r="G17" t="s">
        <v>65</v>
      </c>
    </row>
    <row r="18" spans="1:7">
      <c r="A18" s="66" t="str">
        <f t="shared" si="1"/>
        <v>Voor 18 Achternaam 18</v>
      </c>
      <c r="B18" s="45" t="s">
        <v>75</v>
      </c>
      <c r="C18" s="45" t="s">
        <v>94</v>
      </c>
      <c r="D18" s="65" t="e" cm="1">
        <f t="array" aca="1" ref="D18" ca="1">INDIRECT("'"&amp;SHEETNAME(11) &amp;"'!H41")</f>
        <v>#NAME?</v>
      </c>
      <c r="E18" t="s">
        <v>63</v>
      </c>
      <c r="F18" s="44" t="s">
        <v>66</v>
      </c>
      <c r="G18" t="s">
        <v>151</v>
      </c>
    </row>
    <row r="19" spans="1:7">
      <c r="A19" s="66" t="str">
        <f t="shared" si="1"/>
        <v>Voor 19 Achternaam 19</v>
      </c>
      <c r="B19" s="45" t="s">
        <v>76</v>
      </c>
      <c r="C19" s="45" t="s">
        <v>95</v>
      </c>
      <c r="D19" s="65" t="e" cm="1">
        <f t="array" aca="1" ref="D19" ca="1">INDIRECT("'"&amp;SHEETNAME(12) &amp;"'!H41")</f>
        <v>#NAME?</v>
      </c>
      <c r="E19" t="s">
        <v>63</v>
      </c>
    </row>
    <row r="20" spans="1:7">
      <c r="A20" s="66" t="str">
        <f t="shared" si="1"/>
        <v>Voor 20 Achternaam 20</v>
      </c>
      <c r="B20" s="45" t="s">
        <v>77</v>
      </c>
      <c r="C20" s="45" t="s">
        <v>96</v>
      </c>
      <c r="D20" s="65" t="e" cm="1">
        <f t="array" aca="1" ref="D20" ca="1">INDIRECT("'"&amp;SHEETNAME(14) &amp;"'!H41")</f>
        <v>#NAME?</v>
      </c>
      <c r="E20" t="s">
        <v>63</v>
      </c>
    </row>
    <row r="21" spans="1:7">
      <c r="A21" s="66" t="str">
        <f t="shared" si="1"/>
        <v>Voor 21 Achternaam 21</v>
      </c>
      <c r="B21" s="45" t="s">
        <v>78</v>
      </c>
      <c r="C21" s="45" t="s">
        <v>97</v>
      </c>
      <c r="D21" s="65" t="e" cm="1">
        <f t="array" aca="1" ref="D21" ca="1">INDIRECT("'"&amp;SHEETNAME(15) &amp;"'!H41")</f>
        <v>#NAME?</v>
      </c>
      <c r="E21" t="s">
        <v>63</v>
      </c>
    </row>
    <row r="22" spans="1:7">
      <c r="A22" s="66" t="str">
        <f t="shared" si="1"/>
        <v>Voor 22 Achternaam 22</v>
      </c>
      <c r="B22" s="45" t="s">
        <v>79</v>
      </c>
      <c r="C22" s="45" t="s">
        <v>98</v>
      </c>
      <c r="D22" s="65" t="e" cm="1">
        <f t="array" aca="1" ref="D22" ca="1">INDIRECT("'"&amp;SHEETNAME(16) &amp;"'!H41")</f>
        <v>#NAME?</v>
      </c>
      <c r="E22" t="s">
        <v>63</v>
      </c>
    </row>
    <row r="23" spans="1:7">
      <c r="A23" s="66" t="str">
        <f t="shared" si="1"/>
        <v>Voor 23 Achternaam 23</v>
      </c>
      <c r="B23" s="45" t="s">
        <v>80</v>
      </c>
      <c r="C23" s="45" t="s">
        <v>99</v>
      </c>
      <c r="D23" s="65" t="e" cm="1">
        <f t="array" aca="1" ref="D23" ca="1">INDIRECT("'"&amp;SHEETNAME(17) &amp;"'!H41")</f>
        <v>#NAME?</v>
      </c>
      <c r="E23" t="s">
        <v>63</v>
      </c>
    </row>
    <row r="24" spans="1:7">
      <c r="A24" s="66" t="str">
        <f t="shared" si="1"/>
        <v>Voor 24 Achternaam 24</v>
      </c>
      <c r="B24" s="45" t="s">
        <v>81</v>
      </c>
      <c r="C24" s="45" t="s">
        <v>100</v>
      </c>
      <c r="D24" s="65" t="e" cm="1">
        <f t="array" aca="1" ref="D24" ca="1">INDIRECT("'"&amp;SHEETNAME(18) &amp;"'!H41")</f>
        <v>#NAME?</v>
      </c>
      <c r="E24" t="s">
        <v>63</v>
      </c>
    </row>
    <row r="25" spans="1:7">
      <c r="A25" s="66" t="str">
        <f t="shared" si="1"/>
        <v>Voor 25 Achternaam 25</v>
      </c>
      <c r="B25" s="45" t="s">
        <v>82</v>
      </c>
      <c r="C25" s="45" t="s">
        <v>101</v>
      </c>
      <c r="D25" s="65" t="e" cm="1">
        <f t="array" aca="1" ref="D25" ca="1">INDIRECT("'"&amp;SHEETNAME(19) &amp;"'!H41")</f>
        <v>#NAME?</v>
      </c>
      <c r="E25" t="s">
        <v>63</v>
      </c>
    </row>
    <row r="26" spans="1:7">
      <c r="A26" s="66" t="str">
        <f t="shared" si="1"/>
        <v>Voor 26 Achternaam 26</v>
      </c>
      <c r="B26" s="45" t="s">
        <v>83</v>
      </c>
      <c r="C26" s="45" t="s">
        <v>102</v>
      </c>
      <c r="D26" s="65" t="e" cm="1">
        <f t="array" aca="1" ref="D26" ca="1">INDIRECT("'"&amp;SHEETNAME(20) &amp;"'!H41")</f>
        <v>#NAME?</v>
      </c>
      <c r="E26" t="s">
        <v>63</v>
      </c>
    </row>
    <row r="27" spans="1:7">
      <c r="A27" s="66" t="str">
        <f t="shared" si="1"/>
        <v>Voor 27 Achternaam 27</v>
      </c>
      <c r="B27" s="45" t="s">
        <v>84</v>
      </c>
      <c r="C27" s="45" t="s">
        <v>103</v>
      </c>
      <c r="D27" s="65" t="e" cm="1">
        <f t="array" aca="1" ref="D27" ca="1">INDIRECT("'"&amp;SHEETNAME(21) &amp;"'!H41")</f>
        <v>#NAME?</v>
      </c>
      <c r="E27" t="s">
        <v>63</v>
      </c>
    </row>
    <row r="28" spans="1:7">
      <c r="A28" s="66" t="str">
        <f t="shared" si="1"/>
        <v>Voor 28 Achternaam 28</v>
      </c>
      <c r="B28" s="45" t="s">
        <v>85</v>
      </c>
      <c r="C28" s="45" t="s">
        <v>104</v>
      </c>
      <c r="D28" s="65" t="e" cm="1">
        <f t="array" aca="1" ref="D28" ca="1">INDIRECT("'"&amp;SHEETNAME(22) &amp;"'!H41")</f>
        <v>#NAME?</v>
      </c>
      <c r="E28" t="s">
        <v>63</v>
      </c>
    </row>
  </sheetData>
  <sortState xmlns:xlrd2="http://schemas.microsoft.com/office/spreadsheetml/2017/richdata2" ref="A2:E28">
    <sortCondition ref="B2:B28"/>
  </sortState>
  <phoneticPr fontId="22" type="noConversion"/>
  <hyperlinks>
    <hyperlink ref="I14" r:id="rId1" xr:uid="{3D14EA61-8865-4FD6-ACEA-FF04B95BAD1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Maak_tabblad">
                <anchor moveWithCells="1" sizeWithCells="1">
                  <from>
                    <xdr:col>5</xdr:col>
                    <xdr:colOff>99060</xdr:colOff>
                    <xdr:row>2</xdr:row>
                    <xdr:rowOff>106680</xdr:rowOff>
                  </from>
                  <to>
                    <xdr:col>6</xdr:col>
                    <xdr:colOff>777240</xdr:colOff>
                    <xdr:row>4</xdr:row>
                    <xdr:rowOff>129540</xdr:rowOff>
                  </to>
                </anchor>
              </controlPr>
            </control>
          </mc:Choice>
        </mc:AlternateContent>
        <mc:AlternateContent xmlns:mc="http://schemas.openxmlformats.org/markup-compatibility/2006">
          <mc:Choice Requires="x14">
            <control shapeId="1027" r:id="rId6" name="Button 3">
              <controlPr defaultSize="0" print="0" autoFill="0" autoPict="0" macro="[0]!Hernoem_tabbladen">
                <anchor moveWithCells="1" sizeWithCells="1">
                  <from>
                    <xdr:col>5</xdr:col>
                    <xdr:colOff>129540</xdr:colOff>
                    <xdr:row>7</xdr:row>
                    <xdr:rowOff>99060</xdr:rowOff>
                  </from>
                  <to>
                    <xdr:col>6</xdr:col>
                    <xdr:colOff>815340</xdr:colOff>
                    <xdr:row>9</xdr:row>
                    <xdr:rowOff>106680</xdr:rowOff>
                  </to>
                </anchor>
              </controlPr>
            </control>
          </mc:Choice>
        </mc:AlternateContent>
        <mc:AlternateContent xmlns:mc="http://schemas.openxmlformats.org/markup-compatibility/2006">
          <mc:Choice Requires="x14">
            <control shapeId="1028" r:id="rId7" name="Button 4">
              <controlPr defaultSize="0" print="0" autoFill="0" autoPict="0" macro="[0]!Knop4_Klikken">
                <anchor moveWithCells="1" sizeWithCells="1">
                  <from>
                    <xdr:col>5</xdr:col>
                    <xdr:colOff>129540</xdr:colOff>
                    <xdr:row>12</xdr:row>
                    <xdr:rowOff>15240</xdr:rowOff>
                  </from>
                  <to>
                    <xdr:col>6</xdr:col>
                    <xdr:colOff>815340</xdr:colOff>
                    <xdr:row>13</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2350E-7BD4-4DFC-B367-877A0ACF8257}">
  <sheetPr codeName="Blad106">
    <pageSetUpPr fitToPage="1"/>
  </sheetPr>
  <dimension ref="A1:L124"/>
  <sheetViews>
    <sheetView tabSelected="1" topLeftCell="A4" zoomScaleNormal="100" workbookViewId="0">
      <selection activeCell="B8" sqref="B8"/>
    </sheetView>
  </sheetViews>
  <sheetFormatPr defaultColWidth="11" defaultRowHeight="15.6"/>
  <cols>
    <col min="1" max="1" width="21.796875" style="1" bestFit="1" customWidth="1"/>
    <col min="2" max="2" width="49.796875" style="1" customWidth="1"/>
    <col min="3" max="3" width="36.796875" style="1" customWidth="1"/>
    <col min="4" max="5" width="13.09765625" style="1" customWidth="1"/>
    <col min="6" max="6" width="14" style="1" bestFit="1" customWidth="1"/>
    <col min="7" max="7" width="13.09765625" style="1" customWidth="1"/>
    <col min="8" max="8" width="7" style="1" customWidth="1"/>
    <col min="9" max="11" width="32.296875" style="3" customWidth="1"/>
    <col min="12" max="12" width="11" style="9"/>
  </cols>
  <sheetData>
    <row r="1" spans="1:12" s="17" customFormat="1" ht="25.05" customHeight="1">
      <c r="B1" s="90" t="str" cm="1">
        <f t="array" aca="1" ref="B1" ca="1">MID(CELL("bestandsnaam",B1),FIND("]",CELL("bestandsnaam",B1))+1,256)</f>
        <v>Basis</v>
      </c>
      <c r="C1" s="92" t="str">
        <f>Config!G18</f>
        <v>SPLVSOD1A</v>
      </c>
      <c r="D1" s="14">
        <v>0</v>
      </c>
      <c r="E1" s="86">
        <v>1</v>
      </c>
      <c r="F1" s="86">
        <v>2</v>
      </c>
      <c r="G1" s="13">
        <v>3</v>
      </c>
      <c r="H1" s="15" t="s">
        <v>1</v>
      </c>
      <c r="I1" s="16" t="s">
        <v>2</v>
      </c>
      <c r="J1" s="16" t="s">
        <v>3</v>
      </c>
      <c r="K1" s="16" t="s">
        <v>4</v>
      </c>
      <c r="L1" s="24"/>
    </row>
    <row r="2" spans="1:12" s="17" customFormat="1" ht="25.05" customHeight="1">
      <c r="B2" s="91" t="s">
        <v>0</v>
      </c>
      <c r="C2" s="118" t="str">
        <f>Config!G17</f>
        <v>Project 1: Statische website</v>
      </c>
      <c r="D2" s="118"/>
      <c r="E2" s="118"/>
      <c r="F2" s="118"/>
      <c r="G2" s="118"/>
      <c r="H2" s="118"/>
      <c r="I2" s="118"/>
      <c r="J2" s="94"/>
      <c r="K2" s="87"/>
      <c r="L2" s="24"/>
    </row>
    <row r="3" spans="1:12" ht="24" customHeight="1">
      <c r="A3" s="119" t="s">
        <v>56</v>
      </c>
      <c r="B3" s="120"/>
      <c r="C3" s="120"/>
      <c r="D3" s="120"/>
      <c r="E3" s="120"/>
      <c r="F3" s="120"/>
      <c r="G3" s="120"/>
      <c r="H3" s="120"/>
      <c r="I3" s="120"/>
      <c r="J3" s="120"/>
      <c r="K3" s="121"/>
    </row>
    <row r="4" spans="1:12" ht="28.8" customHeight="1">
      <c r="A4" s="48"/>
      <c r="B4" s="46" t="s">
        <v>123</v>
      </c>
      <c r="C4" s="51" t="s">
        <v>122</v>
      </c>
      <c r="D4" s="75" t="s">
        <v>125</v>
      </c>
      <c r="E4" s="76" t="s">
        <v>126</v>
      </c>
      <c r="F4" s="76"/>
      <c r="G4" s="83"/>
      <c r="H4" s="10"/>
      <c r="I4" s="116" t="s">
        <v>9</v>
      </c>
      <c r="J4" s="106" t="s">
        <v>10</v>
      </c>
      <c r="K4" s="106" t="s">
        <v>11</v>
      </c>
    </row>
    <row r="5" spans="1:12" ht="30.6" customHeight="1">
      <c r="A5" s="48"/>
      <c r="B5" s="46" t="s">
        <v>124</v>
      </c>
      <c r="C5" s="51" t="s">
        <v>122</v>
      </c>
      <c r="D5" s="75" t="s">
        <v>125</v>
      </c>
      <c r="E5" s="76" t="s">
        <v>126</v>
      </c>
      <c r="F5" s="76"/>
      <c r="G5" s="83"/>
      <c r="H5" s="10"/>
      <c r="I5" s="117"/>
      <c r="J5" s="107"/>
      <c r="K5" s="107"/>
    </row>
    <row r="6" spans="1:12" ht="61.05" customHeight="1">
      <c r="A6" s="48"/>
      <c r="B6" s="46" t="s">
        <v>127</v>
      </c>
      <c r="C6" s="51" t="s">
        <v>122</v>
      </c>
      <c r="D6" s="75" t="s">
        <v>5</v>
      </c>
      <c r="E6" s="76" t="s">
        <v>6</v>
      </c>
      <c r="F6" s="76" t="s">
        <v>7</v>
      </c>
      <c r="G6" s="83" t="s">
        <v>8</v>
      </c>
      <c r="H6" s="10"/>
      <c r="I6" s="117"/>
      <c r="J6" s="107"/>
      <c r="K6" s="107"/>
    </row>
    <row r="7" spans="1:12" ht="61.05" customHeight="1">
      <c r="A7" s="48"/>
      <c r="B7" s="46" t="s">
        <v>128</v>
      </c>
      <c r="C7" s="51" t="s">
        <v>129</v>
      </c>
      <c r="D7" s="75" t="s">
        <v>5</v>
      </c>
      <c r="E7" s="76" t="s">
        <v>6</v>
      </c>
      <c r="F7" s="76" t="s">
        <v>7</v>
      </c>
      <c r="G7" s="83" t="s">
        <v>8</v>
      </c>
      <c r="H7" s="10"/>
      <c r="I7" s="117"/>
      <c r="J7" s="107"/>
      <c r="K7" s="107"/>
    </row>
    <row r="8" spans="1:12" ht="49.5" customHeight="1">
      <c r="A8" s="49"/>
      <c r="B8" s="50" t="s">
        <v>121</v>
      </c>
      <c r="C8" s="51" t="s">
        <v>122</v>
      </c>
      <c r="D8" s="75" t="s">
        <v>125</v>
      </c>
      <c r="E8" s="76" t="s">
        <v>126</v>
      </c>
      <c r="F8" s="76"/>
      <c r="G8" s="83"/>
      <c r="H8" s="10"/>
      <c r="I8" s="122"/>
      <c r="J8" s="108"/>
      <c r="K8" s="108"/>
    </row>
    <row r="9" spans="1:12" ht="24" customHeight="1">
      <c r="A9" s="109" t="s">
        <v>12</v>
      </c>
      <c r="B9" s="110"/>
      <c r="C9" s="93"/>
      <c r="D9" s="93"/>
      <c r="E9" s="93"/>
      <c r="F9" s="93"/>
      <c r="G9" s="93"/>
      <c r="H9" s="93"/>
      <c r="I9" s="93"/>
      <c r="J9" s="72"/>
      <c r="K9" s="73"/>
    </row>
    <row r="10" spans="1:12" ht="32.25" customHeight="1">
      <c r="A10" s="48"/>
      <c r="B10" s="46" t="s">
        <v>130</v>
      </c>
      <c r="C10" s="51" t="s">
        <v>13</v>
      </c>
      <c r="D10" s="75" t="s">
        <v>5</v>
      </c>
      <c r="E10" s="76" t="s">
        <v>6</v>
      </c>
      <c r="F10" s="76" t="s">
        <v>7</v>
      </c>
      <c r="G10" s="77" t="s">
        <v>8</v>
      </c>
      <c r="H10" s="10"/>
      <c r="I10" s="116" t="s">
        <v>14</v>
      </c>
      <c r="J10" s="106" t="s">
        <v>15</v>
      </c>
      <c r="K10" s="106" t="s">
        <v>16</v>
      </c>
    </row>
    <row r="11" spans="1:12" s="9" customFormat="1" ht="52.05" customHeight="1">
      <c r="A11" s="11"/>
      <c r="B11" s="46" t="s">
        <v>131</v>
      </c>
      <c r="C11" s="51" t="s">
        <v>13</v>
      </c>
      <c r="D11" s="75" t="s">
        <v>5</v>
      </c>
      <c r="E11" s="76" t="s">
        <v>6</v>
      </c>
      <c r="F11" s="76" t="s">
        <v>7</v>
      </c>
      <c r="G11" s="83" t="s">
        <v>8</v>
      </c>
      <c r="H11" s="12"/>
      <c r="I11" s="117"/>
      <c r="J11" s="107"/>
      <c r="K11" s="107"/>
    </row>
    <row r="12" spans="1:12" ht="24" customHeight="1">
      <c r="A12" s="109" t="s">
        <v>17</v>
      </c>
      <c r="B12" s="110"/>
      <c r="C12" s="93"/>
      <c r="D12" s="93"/>
      <c r="E12" s="93"/>
      <c r="F12" s="93"/>
      <c r="G12" s="93"/>
      <c r="H12" s="93"/>
      <c r="I12" s="93"/>
      <c r="J12" s="72"/>
      <c r="K12" s="73"/>
    </row>
    <row r="13" spans="1:12" ht="28.8">
      <c r="A13" s="52"/>
      <c r="B13" s="46" t="s">
        <v>118</v>
      </c>
      <c r="C13" s="51" t="s">
        <v>18</v>
      </c>
      <c r="D13" s="75" t="s">
        <v>119</v>
      </c>
      <c r="E13" s="76" t="s">
        <v>120</v>
      </c>
      <c r="F13" s="85"/>
      <c r="G13" s="77"/>
      <c r="H13" s="10"/>
      <c r="I13" s="103" t="s">
        <v>19</v>
      </c>
      <c r="J13" s="106" t="s">
        <v>20</v>
      </c>
      <c r="K13" s="106" t="s">
        <v>21</v>
      </c>
    </row>
    <row r="14" spans="1:12" ht="28.8">
      <c r="A14" s="49"/>
      <c r="B14" s="46" t="s">
        <v>22</v>
      </c>
      <c r="C14" s="51" t="s">
        <v>18</v>
      </c>
      <c r="D14" s="75" t="s">
        <v>5</v>
      </c>
      <c r="E14" s="78" t="s">
        <v>6</v>
      </c>
      <c r="F14" s="76" t="s">
        <v>7</v>
      </c>
      <c r="G14" s="77" t="s">
        <v>8</v>
      </c>
      <c r="H14" s="10"/>
      <c r="I14" s="104"/>
      <c r="J14" s="107"/>
      <c r="K14" s="107"/>
    </row>
    <row r="15" spans="1:12" ht="28.8">
      <c r="A15" s="49"/>
      <c r="B15" s="46" t="s">
        <v>23</v>
      </c>
      <c r="C15" s="51" t="s">
        <v>18</v>
      </c>
      <c r="D15" s="75" t="s">
        <v>125</v>
      </c>
      <c r="E15" s="76" t="s">
        <v>126</v>
      </c>
      <c r="F15" s="76"/>
      <c r="G15" s="77"/>
      <c r="H15" s="10"/>
      <c r="I15" s="104"/>
      <c r="J15" s="107"/>
      <c r="K15" s="107"/>
    </row>
    <row r="16" spans="1:12">
      <c r="A16" s="49"/>
      <c r="B16" s="46" t="s">
        <v>142</v>
      </c>
      <c r="C16" s="51" t="s">
        <v>18</v>
      </c>
      <c r="D16" s="101" t="s">
        <v>125</v>
      </c>
      <c r="E16" s="102" t="s">
        <v>126</v>
      </c>
      <c r="F16" s="76"/>
      <c r="G16" s="77"/>
      <c r="H16" s="10"/>
      <c r="I16" s="104"/>
      <c r="J16" s="107"/>
      <c r="K16" s="107"/>
    </row>
    <row r="17" spans="1:11" ht="28.8">
      <c r="A17" s="49"/>
      <c r="B17" s="46" t="s">
        <v>143</v>
      </c>
      <c r="C17" s="51" t="s">
        <v>18</v>
      </c>
      <c r="D17" s="101" t="s">
        <v>125</v>
      </c>
      <c r="E17" s="102" t="s">
        <v>144</v>
      </c>
      <c r="F17" s="76"/>
      <c r="G17" s="77"/>
      <c r="H17" s="10"/>
      <c r="I17" s="104"/>
      <c r="J17" s="107"/>
      <c r="K17" s="107"/>
    </row>
    <row r="18" spans="1:11">
      <c r="A18" s="49"/>
      <c r="B18" s="46" t="s">
        <v>145</v>
      </c>
      <c r="C18" s="51" t="s">
        <v>18</v>
      </c>
      <c r="D18" s="101" t="s">
        <v>125</v>
      </c>
      <c r="E18" s="102" t="s">
        <v>126</v>
      </c>
      <c r="F18" s="76"/>
      <c r="G18" s="77"/>
      <c r="H18" s="10"/>
      <c r="I18" s="104"/>
      <c r="J18" s="107"/>
      <c r="K18" s="107"/>
    </row>
    <row r="19" spans="1:11">
      <c r="A19" s="49"/>
      <c r="B19" s="46" t="s">
        <v>133</v>
      </c>
      <c r="C19" s="51" t="s">
        <v>132</v>
      </c>
      <c r="D19" s="75" t="s">
        <v>125</v>
      </c>
      <c r="E19" s="76" t="s">
        <v>126</v>
      </c>
      <c r="F19" s="76"/>
      <c r="G19" s="77"/>
      <c r="H19" s="10"/>
      <c r="I19" s="104"/>
      <c r="J19" s="107"/>
      <c r="K19" s="107"/>
    </row>
    <row r="20" spans="1:11" ht="29.4" customHeight="1">
      <c r="A20" s="49"/>
      <c r="B20" s="46" t="s">
        <v>134</v>
      </c>
      <c r="C20" s="51" t="s">
        <v>135</v>
      </c>
      <c r="D20" s="75" t="s">
        <v>136</v>
      </c>
      <c r="E20" s="76" t="s">
        <v>137</v>
      </c>
      <c r="F20" s="76" t="s">
        <v>138</v>
      </c>
      <c r="G20" s="77" t="s">
        <v>139</v>
      </c>
      <c r="H20" s="10"/>
      <c r="I20" s="104"/>
      <c r="J20" s="107"/>
      <c r="K20" s="107"/>
    </row>
    <row r="21" spans="1:11" ht="15.75" customHeight="1">
      <c r="A21" s="49"/>
      <c r="B21" s="46" t="s">
        <v>24</v>
      </c>
      <c r="C21" s="51" t="s">
        <v>25</v>
      </c>
      <c r="D21" s="75" t="s">
        <v>5</v>
      </c>
      <c r="E21" s="76" t="s">
        <v>6</v>
      </c>
      <c r="F21" s="78" t="s">
        <v>7</v>
      </c>
      <c r="G21" s="77" t="s">
        <v>8</v>
      </c>
      <c r="H21" s="10"/>
      <c r="I21" s="105"/>
      <c r="J21" s="108"/>
      <c r="K21" s="108"/>
    </row>
    <row r="22" spans="1:11" ht="24" customHeight="1">
      <c r="A22" s="109" t="s">
        <v>26</v>
      </c>
      <c r="B22" s="110"/>
      <c r="C22" s="93"/>
      <c r="D22" s="93"/>
      <c r="E22" s="93"/>
      <c r="F22" s="93"/>
      <c r="G22" s="93"/>
      <c r="H22" s="93"/>
      <c r="I22" s="93"/>
      <c r="J22" s="72"/>
      <c r="K22" s="73"/>
    </row>
    <row r="23" spans="1:11" ht="47.25" customHeight="1">
      <c r="A23" s="52"/>
      <c r="B23" s="46" t="s">
        <v>114</v>
      </c>
      <c r="C23" s="51" t="s">
        <v>18</v>
      </c>
      <c r="D23" s="79" t="s">
        <v>115</v>
      </c>
      <c r="E23" s="80" t="s">
        <v>116</v>
      </c>
      <c r="F23" s="80" t="s">
        <v>117</v>
      </c>
      <c r="G23" s="81"/>
      <c r="H23" s="10"/>
      <c r="I23" s="103" t="s">
        <v>27</v>
      </c>
      <c r="J23" s="106" t="s">
        <v>28</v>
      </c>
      <c r="K23" s="106" t="s">
        <v>29</v>
      </c>
    </row>
    <row r="24" spans="1:11" ht="47.25" customHeight="1">
      <c r="A24" s="49"/>
      <c r="B24" s="46" t="s">
        <v>113</v>
      </c>
      <c r="C24" s="51" t="s">
        <v>18</v>
      </c>
      <c r="D24" s="79" t="s">
        <v>115</v>
      </c>
      <c r="E24" s="80" t="s">
        <v>116</v>
      </c>
      <c r="F24" s="80" t="s">
        <v>117</v>
      </c>
      <c r="G24" s="81"/>
      <c r="H24" s="10"/>
      <c r="I24" s="104"/>
      <c r="J24" s="107"/>
      <c r="K24" s="107"/>
    </row>
    <row r="25" spans="1:11" ht="47.25" customHeight="1">
      <c r="A25" s="49"/>
      <c r="B25" s="46" t="s">
        <v>141</v>
      </c>
      <c r="C25" s="51" t="s">
        <v>18</v>
      </c>
      <c r="D25" s="79" t="s">
        <v>5</v>
      </c>
      <c r="E25" s="80" t="s">
        <v>6</v>
      </c>
      <c r="F25" s="80" t="s">
        <v>7</v>
      </c>
      <c r="G25" s="81" t="s">
        <v>8</v>
      </c>
      <c r="H25" s="10"/>
      <c r="I25" s="104"/>
      <c r="J25" s="107"/>
      <c r="K25" s="107"/>
    </row>
    <row r="26" spans="1:11" ht="25.5" customHeight="1">
      <c r="A26" s="49"/>
      <c r="B26" s="46" t="s">
        <v>140</v>
      </c>
      <c r="C26" s="51" t="s">
        <v>18</v>
      </c>
      <c r="D26" s="75" t="s">
        <v>5</v>
      </c>
      <c r="E26" s="76" t="s">
        <v>6</v>
      </c>
      <c r="F26" s="78" t="s">
        <v>7</v>
      </c>
      <c r="G26" s="77" t="s">
        <v>8</v>
      </c>
      <c r="H26" s="10"/>
      <c r="I26" s="105"/>
      <c r="J26" s="108"/>
      <c r="K26" s="108"/>
    </row>
    <row r="27" spans="1:11" ht="24" customHeight="1">
      <c r="A27" s="109" t="s">
        <v>30</v>
      </c>
      <c r="B27" s="110"/>
      <c r="C27" s="93"/>
      <c r="D27" s="93"/>
      <c r="E27" s="93"/>
      <c r="F27" s="93"/>
      <c r="G27" s="93"/>
      <c r="H27" s="93"/>
      <c r="I27" s="93"/>
      <c r="J27" s="72"/>
      <c r="K27" s="73"/>
    </row>
    <row r="28" spans="1:11" ht="24.6" customHeight="1">
      <c r="A28" s="49"/>
      <c r="B28" s="53"/>
      <c r="C28" s="54"/>
      <c r="D28" s="55"/>
      <c r="E28" s="56"/>
      <c r="F28" s="56"/>
      <c r="G28" s="57"/>
      <c r="H28" s="10"/>
      <c r="I28" s="97"/>
      <c r="J28" s="96"/>
      <c r="K28" s="96"/>
    </row>
    <row r="29" spans="1:11" ht="29.25" customHeight="1">
      <c r="A29" s="114" t="s">
        <v>31</v>
      </c>
      <c r="B29" s="115"/>
      <c r="C29" s="18"/>
      <c r="D29" s="19"/>
      <c r="E29" s="95"/>
      <c r="F29" s="95"/>
      <c r="G29" s="18"/>
      <c r="H29" s="15"/>
      <c r="I29" s="16"/>
      <c r="J29" s="74"/>
      <c r="K29" s="74"/>
    </row>
    <row r="30" spans="1:11" ht="24" customHeight="1">
      <c r="A30" s="109" t="s">
        <v>32</v>
      </c>
      <c r="B30" s="110"/>
      <c r="C30" s="93"/>
      <c r="D30" s="93"/>
      <c r="E30" s="93"/>
      <c r="F30" s="93"/>
      <c r="G30" s="93"/>
      <c r="H30" s="93"/>
      <c r="I30" s="93"/>
      <c r="J30" s="72"/>
      <c r="K30" s="73"/>
    </row>
    <row r="31" spans="1:11" ht="28.8">
      <c r="A31" s="49"/>
      <c r="B31" s="46" t="s">
        <v>33</v>
      </c>
      <c r="C31" s="47" t="s">
        <v>34</v>
      </c>
      <c r="D31" s="75" t="s">
        <v>5</v>
      </c>
      <c r="E31" s="76" t="s">
        <v>6</v>
      </c>
      <c r="F31" s="76" t="s">
        <v>7</v>
      </c>
      <c r="G31" s="77" t="s">
        <v>8</v>
      </c>
      <c r="H31" s="10"/>
      <c r="I31" s="104"/>
      <c r="J31" s="107"/>
      <c r="K31" s="107"/>
    </row>
    <row r="32" spans="1:11" ht="28.8">
      <c r="A32" s="49"/>
      <c r="B32" s="46" t="s">
        <v>35</v>
      </c>
      <c r="C32" s="47" t="s">
        <v>36</v>
      </c>
      <c r="D32" s="75" t="s">
        <v>5</v>
      </c>
      <c r="E32" s="78" t="s">
        <v>6</v>
      </c>
      <c r="F32" s="76" t="s">
        <v>7</v>
      </c>
      <c r="G32" s="77" t="s">
        <v>8</v>
      </c>
      <c r="H32" s="10"/>
      <c r="I32" s="105"/>
      <c r="J32" s="108"/>
      <c r="K32" s="108"/>
    </row>
    <row r="33" spans="1:12" ht="24" customHeight="1">
      <c r="A33" s="109" t="s">
        <v>37</v>
      </c>
      <c r="B33" s="110"/>
      <c r="C33" s="93"/>
      <c r="D33" s="93"/>
      <c r="E33" s="93"/>
      <c r="F33" s="93"/>
      <c r="G33" s="93"/>
      <c r="H33" s="93"/>
      <c r="I33" s="93"/>
      <c r="J33" s="72"/>
      <c r="K33" s="73"/>
    </row>
    <row r="34" spans="1:12" ht="66" customHeight="1">
      <c r="A34" s="52"/>
      <c r="B34" s="46" t="s">
        <v>38</v>
      </c>
      <c r="C34" s="51" t="s">
        <v>39</v>
      </c>
      <c r="D34" s="82" t="s">
        <v>5</v>
      </c>
      <c r="E34" s="76" t="s">
        <v>6</v>
      </c>
      <c r="F34" s="76" t="s">
        <v>7</v>
      </c>
      <c r="G34" s="83" t="s">
        <v>8</v>
      </c>
      <c r="H34" s="10"/>
      <c r="I34" s="103" t="s">
        <v>40</v>
      </c>
      <c r="J34" s="106" t="s">
        <v>41</v>
      </c>
      <c r="K34" s="106" t="s">
        <v>42</v>
      </c>
    </row>
    <row r="35" spans="1:12" ht="66" customHeight="1">
      <c r="A35" s="49"/>
      <c r="B35" s="50" t="s">
        <v>43</v>
      </c>
      <c r="C35" s="51" t="s">
        <v>39</v>
      </c>
      <c r="D35" s="82" t="s">
        <v>5</v>
      </c>
      <c r="E35" s="76" t="s">
        <v>6</v>
      </c>
      <c r="F35" s="76" t="s">
        <v>7</v>
      </c>
      <c r="G35" s="83" t="s">
        <v>8</v>
      </c>
      <c r="H35" s="10"/>
      <c r="I35" s="104"/>
      <c r="J35" s="107"/>
      <c r="K35" s="107"/>
    </row>
    <row r="36" spans="1:12" ht="59.25" customHeight="1">
      <c r="A36" s="49"/>
      <c r="B36" s="50" t="s">
        <v>44</v>
      </c>
      <c r="C36" s="51" t="s">
        <v>39</v>
      </c>
      <c r="D36" s="82" t="s">
        <v>5</v>
      </c>
      <c r="E36" s="76" t="s">
        <v>6</v>
      </c>
      <c r="F36" s="76" t="s">
        <v>7</v>
      </c>
      <c r="G36" s="83" t="s">
        <v>8</v>
      </c>
      <c r="H36" s="10"/>
      <c r="I36" s="105"/>
      <c r="J36" s="108"/>
      <c r="K36" s="108"/>
    </row>
    <row r="37" spans="1:12" ht="23.25" customHeight="1">
      <c r="A37" s="109" t="s">
        <v>45</v>
      </c>
      <c r="B37" s="110"/>
      <c r="C37" s="100"/>
      <c r="D37" s="100"/>
      <c r="E37" s="100"/>
      <c r="F37" s="100"/>
      <c r="G37" s="100"/>
      <c r="H37" s="100"/>
      <c r="I37" s="100"/>
      <c r="J37" s="72"/>
      <c r="K37" s="73"/>
    </row>
    <row r="38" spans="1:12" ht="28.8" customHeight="1">
      <c r="A38" s="29"/>
      <c r="B38" s="58"/>
      <c r="C38" s="59"/>
      <c r="D38" s="60"/>
      <c r="E38" s="61"/>
      <c r="F38" s="61"/>
      <c r="G38" s="62"/>
      <c r="H38" s="20"/>
      <c r="I38" s="98"/>
      <c r="J38" s="99"/>
      <c r="K38" s="99"/>
    </row>
    <row r="39" spans="1:12" ht="23.25" customHeight="1">
      <c r="A39" s="109" t="s">
        <v>148</v>
      </c>
      <c r="B39" s="110"/>
      <c r="C39" s="93"/>
      <c r="D39" s="93"/>
      <c r="E39" s="93"/>
      <c r="F39" s="93"/>
      <c r="G39" s="93"/>
      <c r="H39" s="93"/>
      <c r="I39" s="93"/>
      <c r="J39" s="72"/>
      <c r="K39" s="73"/>
    </row>
    <row r="40" spans="1:12" ht="28.8" customHeight="1">
      <c r="A40" s="29"/>
      <c r="B40" s="50" t="s">
        <v>149</v>
      </c>
      <c r="C40" s="50" t="s">
        <v>150</v>
      </c>
      <c r="D40" s="82" t="s">
        <v>170</v>
      </c>
      <c r="E40" s="76" t="s">
        <v>173</v>
      </c>
      <c r="F40" s="76" t="s">
        <v>171</v>
      </c>
      <c r="G40" s="83" t="s">
        <v>172</v>
      </c>
      <c r="H40" s="20"/>
      <c r="I40" s="98"/>
      <c r="J40" s="99"/>
      <c r="K40" s="99"/>
    </row>
    <row r="41" spans="1:12" ht="28.8" customHeight="1">
      <c r="A41" s="29"/>
      <c r="B41" s="50" t="s">
        <v>174</v>
      </c>
      <c r="C41" s="50" t="s">
        <v>175</v>
      </c>
      <c r="D41" s="82" t="s">
        <v>170</v>
      </c>
      <c r="E41" s="76" t="s">
        <v>173</v>
      </c>
      <c r="F41" s="76" t="s">
        <v>171</v>
      </c>
      <c r="G41" s="83" t="s">
        <v>172</v>
      </c>
      <c r="H41" s="20"/>
      <c r="I41" s="98"/>
      <c r="J41" s="99"/>
      <c r="K41" s="99"/>
    </row>
    <row r="42" spans="1:12" ht="28.8" customHeight="1" thickBot="1">
      <c r="A42" s="29"/>
      <c r="B42" s="50" t="s">
        <v>176</v>
      </c>
      <c r="C42" s="50" t="s">
        <v>177</v>
      </c>
      <c r="D42" s="82" t="s">
        <v>180</v>
      </c>
      <c r="E42" s="76" t="s">
        <v>181</v>
      </c>
      <c r="F42" s="76" t="s">
        <v>179</v>
      </c>
      <c r="G42" s="83" t="s">
        <v>178</v>
      </c>
      <c r="H42" s="20"/>
      <c r="I42" s="97"/>
      <c r="J42" s="96"/>
      <c r="K42" s="96"/>
    </row>
    <row r="43" spans="1:12" ht="24" customHeight="1">
      <c r="A43" s="21"/>
      <c r="B43" s="22"/>
      <c r="C43" s="22"/>
      <c r="D43" s="43"/>
      <c r="E43" s="43"/>
      <c r="F43" s="43"/>
      <c r="G43" s="43"/>
      <c r="H43" s="22"/>
      <c r="I43" s="22"/>
      <c r="J43" s="22"/>
      <c r="K43" s="23"/>
    </row>
    <row r="44" spans="1:12" ht="23.25" hidden="1" customHeight="1">
      <c r="A44" s="63"/>
      <c r="B44" s="46"/>
      <c r="C44" s="46" t="s">
        <v>46</v>
      </c>
      <c r="D44" s="46"/>
      <c r="E44" s="70" cm="1">
        <f t="array" ref="E44">telkleur(E4:E8,E43)+telkleur(E10:E11,E43)+telkleur(E13:E21,E43)+telkleur(E23:E26,E43)+telkleur(E31:E32,E43)+telkleur(E34:E36,E43)+telkleur(E40:E42,E43)</f>
        <v>0</v>
      </c>
      <c r="F44" s="71" cm="1">
        <f t="array" ref="F44">telkleur(F6:F7,E43)*2+telkleur(F10:F11,E43)*2+telkleur(F14,E43)*2+telkleur(F20:F21,E43)*2+telkleur(F23:F26,E43)*2+telkleur(F31:F32,E43)*2+telkleur(F34:F36,E43)*2+telkleur(F40:F42,E43)*2</f>
        <v>0</v>
      </c>
      <c r="G44" s="71" cm="1">
        <f t="array" ref="G44">telkleur(G6:G7,G43)*3+telkleur(G10:G11,G43)*3+telkleur(G14,G43)*3+telkleur(G20:G21,G43)*3+telkleur(G25:G26,G43)*3+telkleur(G31:G32,G43)*3+telkleur(G34:G36,G43)*3+telkleur(G40:G42,G43)*3</f>
        <v>0</v>
      </c>
      <c r="H44" s="71">
        <f>SUM(D44:G44)</f>
        <v>0</v>
      </c>
      <c r="I44" s="64" t="s">
        <v>61</v>
      </c>
      <c r="J44" s="2"/>
      <c r="K44" s="2"/>
    </row>
    <row r="45" spans="1:12" ht="23.25" customHeight="1">
      <c r="A45" s="63"/>
      <c r="B45" s="46"/>
      <c r="C45" s="46"/>
      <c r="D45" s="111">
        <f>_xlfn.XLOOKUP(H44,A57:A122,B57:B122)</f>
        <v>1</v>
      </c>
      <c r="E45" s="112"/>
      <c r="F45" s="112"/>
      <c r="G45" s="113"/>
      <c r="H45" s="84">
        <f>_xlfn.XLOOKUP(H44,A57:A122,C57:C122)</f>
        <v>10</v>
      </c>
      <c r="I45" s="69" t="s">
        <v>63</v>
      </c>
      <c r="J45" s="2"/>
      <c r="K45" s="2"/>
    </row>
    <row r="46" spans="1:12" ht="23.25" customHeight="1">
      <c r="B46" s="31"/>
      <c r="C46" s="31"/>
      <c r="D46" s="31"/>
      <c r="E46" s="7" t="s">
        <v>55</v>
      </c>
      <c r="F46" s="7"/>
      <c r="G46" s="7"/>
      <c r="H46" s="6"/>
      <c r="I46" s="8"/>
      <c r="J46" s="8"/>
      <c r="K46" s="8"/>
    </row>
    <row r="47" spans="1:12" ht="18">
      <c r="A47" s="32"/>
      <c r="B47" s="33"/>
      <c r="C47" s="33"/>
      <c r="D47" s="33"/>
      <c r="E47" t="s">
        <v>54</v>
      </c>
      <c r="F47"/>
      <c r="G47"/>
      <c r="H47"/>
      <c r="I47" s="1"/>
      <c r="J47" s="4"/>
      <c r="K47" s="4"/>
      <c r="L47" s="25"/>
    </row>
    <row r="48" spans="1:12" ht="18">
      <c r="A48" s="32"/>
      <c r="B48" s="33"/>
      <c r="C48" s="33"/>
      <c r="D48" s="33"/>
      <c r="E48"/>
      <c r="F48"/>
      <c r="G48"/>
      <c r="H48"/>
      <c r="I48" s="1"/>
      <c r="J48" s="4"/>
      <c r="K48" s="4"/>
      <c r="L48" s="25"/>
    </row>
    <row r="49" spans="1:12" s="5" customFormat="1" ht="23.4" hidden="1">
      <c r="A49" s="32" t="s">
        <v>47</v>
      </c>
      <c r="B49" s="30" t="s">
        <v>146</v>
      </c>
      <c r="C49" s="32"/>
      <c r="D49" s="32"/>
      <c r="I49" s="26"/>
      <c r="J49" s="27"/>
      <c r="K49" s="27"/>
      <c r="L49" s="28"/>
    </row>
    <row r="50" spans="1:12" ht="18" hidden="1">
      <c r="A50" s="34" t="s">
        <v>48</v>
      </c>
      <c r="B50" s="33"/>
      <c r="C50" s="33"/>
      <c r="D50" s="33"/>
      <c r="E50"/>
      <c r="F50"/>
      <c r="G50"/>
      <c r="H50"/>
      <c r="I50" s="1"/>
      <c r="J50" s="4"/>
      <c r="K50" s="4"/>
      <c r="L50" s="25"/>
    </row>
    <row r="51" spans="1:12" ht="18" hidden="1">
      <c r="A51" s="35">
        <v>5.5</v>
      </c>
      <c r="B51" s="33"/>
      <c r="C51" s="33"/>
      <c r="D51" s="33"/>
      <c r="E51"/>
      <c r="F51"/>
      <c r="G51"/>
      <c r="H51"/>
      <c r="I51" s="1"/>
      <c r="J51" s="4"/>
      <c r="K51" s="4"/>
      <c r="L51" s="25"/>
    </row>
    <row r="52" spans="1:12" ht="18" hidden="1">
      <c r="A52" s="34" t="s">
        <v>49</v>
      </c>
      <c r="B52" s="33"/>
      <c r="C52" s="33"/>
      <c r="D52" s="36"/>
      <c r="E52"/>
      <c r="F52"/>
      <c r="G52"/>
      <c r="H52"/>
      <c r="I52" s="1"/>
      <c r="J52" s="4"/>
      <c r="K52" s="4"/>
      <c r="L52" s="25"/>
    </row>
    <row r="53" spans="1:12" ht="18" hidden="1">
      <c r="A53" s="35" t="s">
        <v>147</v>
      </c>
      <c r="B53" s="33"/>
      <c r="C53" s="33"/>
      <c r="D53" s="36"/>
      <c r="E53"/>
      <c r="F53"/>
      <c r="G53"/>
      <c r="H53"/>
      <c r="I53" s="1"/>
      <c r="J53" s="4"/>
      <c r="K53" s="4"/>
      <c r="L53" s="25"/>
    </row>
    <row r="54" spans="1:12" ht="18" hidden="1">
      <c r="A54" s="34" t="s">
        <v>50</v>
      </c>
      <c r="B54" s="33"/>
      <c r="C54" s="33"/>
      <c r="D54" s="36"/>
      <c r="E54"/>
      <c r="F54"/>
      <c r="G54"/>
      <c r="H54"/>
      <c r="I54" s="1"/>
      <c r="J54" s="4"/>
      <c r="K54" s="4"/>
      <c r="L54" s="25"/>
    </row>
    <row r="55" spans="1:12" ht="18" hidden="1">
      <c r="A55" s="35" t="s">
        <v>51</v>
      </c>
      <c r="B55" s="33"/>
      <c r="C55" s="33"/>
      <c r="D55" s="36"/>
      <c r="E55"/>
      <c r="F55"/>
      <c r="G55"/>
      <c r="H55"/>
      <c r="I55" s="1"/>
      <c r="J55" s="4"/>
      <c r="K55" s="4"/>
      <c r="L55" s="25"/>
    </row>
    <row r="56" spans="1:12" ht="18" hidden="1">
      <c r="A56" s="42" t="s">
        <v>52</v>
      </c>
      <c r="B56" s="42" t="s">
        <v>53</v>
      </c>
      <c r="C56" s="67" t="s">
        <v>62</v>
      </c>
      <c r="D56" s="36"/>
      <c r="E56"/>
      <c r="F56"/>
      <c r="G56"/>
      <c r="H56"/>
      <c r="I56" s="1"/>
      <c r="J56" s="4"/>
      <c r="K56" s="4"/>
      <c r="L56" s="25"/>
    </row>
    <row r="57" spans="1:12" ht="18" hidden="1">
      <c r="A57" s="37">
        <v>64</v>
      </c>
      <c r="B57" s="40">
        <f>ROUND(((A57/$A$57)*9)+1,1)</f>
        <v>10</v>
      </c>
      <c r="C57" s="68">
        <f>B57*10</f>
        <v>100</v>
      </c>
      <c r="D57" s="36"/>
      <c r="E57"/>
      <c r="F57"/>
      <c r="G57"/>
      <c r="H57"/>
      <c r="I57" s="1"/>
      <c r="J57" s="4"/>
      <c r="K57" s="4"/>
      <c r="L57" s="25"/>
    </row>
    <row r="58" spans="1:12" ht="18" hidden="1">
      <c r="A58" s="38">
        <v>63</v>
      </c>
      <c r="B58" s="41">
        <f t="shared" ref="B58:B122" si="0">ROUND(((A58/$A$57)*9)+1,1)</f>
        <v>9.9</v>
      </c>
      <c r="C58" s="68">
        <f>B58*10</f>
        <v>99</v>
      </c>
      <c r="D58" s="36"/>
      <c r="E58"/>
      <c r="F58"/>
      <c r="G58"/>
      <c r="H58"/>
      <c r="I58" s="1"/>
      <c r="J58" s="4"/>
      <c r="K58" s="4"/>
      <c r="L58" s="25"/>
    </row>
    <row r="59" spans="1:12" ht="18" hidden="1">
      <c r="A59" s="37">
        <v>62</v>
      </c>
      <c r="B59" s="40">
        <f t="shared" si="0"/>
        <v>9.6999999999999993</v>
      </c>
      <c r="C59" s="68">
        <f>B59*10</f>
        <v>97</v>
      </c>
      <c r="D59" s="36"/>
      <c r="E59"/>
      <c r="F59"/>
      <c r="G59"/>
      <c r="H59"/>
      <c r="I59" s="1"/>
      <c r="J59" s="4"/>
      <c r="K59" s="4"/>
      <c r="L59" s="25"/>
    </row>
    <row r="60" spans="1:12" ht="18" hidden="1">
      <c r="A60" s="38">
        <v>61</v>
      </c>
      <c r="B60" s="41">
        <f t="shared" si="0"/>
        <v>9.6</v>
      </c>
      <c r="C60" s="68">
        <f>B60*10</f>
        <v>96</v>
      </c>
      <c r="D60" s="36"/>
      <c r="E60"/>
      <c r="F60"/>
      <c r="G60"/>
      <c r="H60"/>
      <c r="I60" s="1"/>
      <c r="J60" s="4"/>
      <c r="K60" s="4"/>
      <c r="L60" s="25"/>
    </row>
    <row r="61" spans="1:12" ht="18" hidden="1">
      <c r="A61" s="37">
        <v>60</v>
      </c>
      <c r="B61" s="40">
        <f t="shared" si="0"/>
        <v>9.4</v>
      </c>
      <c r="C61" s="68">
        <f t="shared" ref="C61" si="1">B61*10</f>
        <v>94</v>
      </c>
      <c r="D61" s="36"/>
      <c r="E61"/>
      <c r="F61"/>
      <c r="G61"/>
      <c r="H61"/>
      <c r="I61" s="1"/>
      <c r="J61" s="4"/>
      <c r="K61" s="4"/>
      <c r="L61" s="25"/>
    </row>
    <row r="62" spans="1:12" ht="18" hidden="1">
      <c r="A62" s="38">
        <v>59</v>
      </c>
      <c r="B62" s="41">
        <f t="shared" si="0"/>
        <v>9.3000000000000007</v>
      </c>
      <c r="C62" s="68">
        <f>B62*10</f>
        <v>93</v>
      </c>
      <c r="D62" s="36"/>
      <c r="E62"/>
      <c r="F62"/>
      <c r="G62"/>
      <c r="H62"/>
      <c r="I62" s="1"/>
      <c r="J62" s="4"/>
      <c r="K62" s="4"/>
      <c r="L62" s="25"/>
    </row>
    <row r="63" spans="1:12" ht="18" hidden="1">
      <c r="A63" s="37">
        <v>58</v>
      </c>
      <c r="B63" s="40">
        <f t="shared" si="0"/>
        <v>9.1999999999999993</v>
      </c>
      <c r="C63" s="68">
        <f>B63*10</f>
        <v>92</v>
      </c>
      <c r="D63" s="36"/>
      <c r="E63"/>
      <c r="F63"/>
      <c r="G63"/>
      <c r="H63"/>
      <c r="I63" s="1"/>
      <c r="J63" s="4"/>
      <c r="K63" s="4"/>
      <c r="L63" s="25"/>
    </row>
    <row r="64" spans="1:12" ht="18" hidden="1">
      <c r="A64" s="38">
        <v>57</v>
      </c>
      <c r="B64" s="41">
        <f t="shared" si="0"/>
        <v>9</v>
      </c>
      <c r="C64" s="68">
        <f>B64*10</f>
        <v>90</v>
      </c>
      <c r="D64" s="36"/>
      <c r="E64"/>
      <c r="F64"/>
      <c r="G64"/>
      <c r="H64"/>
      <c r="I64" s="1"/>
      <c r="J64" s="4"/>
      <c r="K64" s="4"/>
      <c r="L64" s="25"/>
    </row>
    <row r="65" spans="1:12" ht="18" hidden="1">
      <c r="A65" s="37">
        <v>56</v>
      </c>
      <c r="B65" s="40">
        <f t="shared" si="0"/>
        <v>8.9</v>
      </c>
      <c r="C65" s="68">
        <f t="shared" ref="C65" si="2">B65*10</f>
        <v>89</v>
      </c>
      <c r="D65" s="36"/>
      <c r="E65"/>
      <c r="F65"/>
      <c r="G65"/>
      <c r="H65"/>
      <c r="I65" s="1"/>
      <c r="J65" s="4"/>
      <c r="K65" s="4"/>
      <c r="L65" s="25"/>
    </row>
    <row r="66" spans="1:12" ht="18" hidden="1">
      <c r="A66" s="38">
        <v>55</v>
      </c>
      <c r="B66" s="41">
        <f t="shared" si="0"/>
        <v>8.6999999999999993</v>
      </c>
      <c r="C66" s="68">
        <f>B66*10</f>
        <v>87</v>
      </c>
      <c r="D66" s="36"/>
      <c r="E66"/>
      <c r="F66"/>
      <c r="G66"/>
      <c r="H66"/>
      <c r="I66" s="1"/>
      <c r="J66" s="4"/>
      <c r="K66" s="4"/>
      <c r="L66" s="25"/>
    </row>
    <row r="67" spans="1:12" ht="18" hidden="1">
      <c r="A67" s="38">
        <v>54</v>
      </c>
      <c r="B67" s="41">
        <f t="shared" si="0"/>
        <v>8.6</v>
      </c>
      <c r="C67" s="68">
        <f>B67*10</f>
        <v>86</v>
      </c>
      <c r="D67" s="36"/>
      <c r="E67"/>
      <c r="F67"/>
      <c r="G67"/>
      <c r="H67"/>
      <c r="I67" s="1"/>
      <c r="J67" s="4"/>
      <c r="K67" s="4"/>
      <c r="L67" s="25"/>
    </row>
    <row r="68" spans="1:12" ht="18" hidden="1">
      <c r="A68" s="37">
        <v>53</v>
      </c>
      <c r="B68" s="40">
        <f t="shared" si="0"/>
        <v>8.5</v>
      </c>
      <c r="C68" s="68">
        <f>B68*10</f>
        <v>85</v>
      </c>
      <c r="D68" s="36"/>
      <c r="E68"/>
      <c r="F68"/>
      <c r="G68"/>
      <c r="H68"/>
      <c r="I68" s="1"/>
      <c r="J68" s="4"/>
      <c r="K68" s="4"/>
      <c r="L68" s="25"/>
    </row>
    <row r="69" spans="1:12" ht="18" hidden="1">
      <c r="A69" s="38">
        <v>52</v>
      </c>
      <c r="B69" s="41">
        <f t="shared" si="0"/>
        <v>8.3000000000000007</v>
      </c>
      <c r="C69" s="68">
        <f>B69*10</f>
        <v>83</v>
      </c>
      <c r="D69" s="36"/>
      <c r="E69"/>
      <c r="F69"/>
      <c r="G69"/>
      <c r="H69"/>
      <c r="I69" s="1"/>
      <c r="J69" s="4"/>
      <c r="K69" s="4"/>
      <c r="L69" s="25"/>
    </row>
    <row r="70" spans="1:12" ht="18" hidden="1">
      <c r="A70" s="37">
        <v>51</v>
      </c>
      <c r="B70" s="40">
        <f t="shared" si="0"/>
        <v>8.1999999999999993</v>
      </c>
      <c r="C70" s="68">
        <f t="shared" ref="C70" si="3">B70*10</f>
        <v>82</v>
      </c>
      <c r="D70" s="36"/>
      <c r="E70"/>
      <c r="F70"/>
      <c r="G70"/>
      <c r="H70"/>
      <c r="I70" s="1"/>
      <c r="J70" s="4"/>
      <c r="K70" s="4"/>
      <c r="L70" s="25"/>
    </row>
    <row r="71" spans="1:12" ht="18" hidden="1">
      <c r="A71" s="38">
        <v>50</v>
      </c>
      <c r="B71" s="41">
        <f t="shared" si="0"/>
        <v>8</v>
      </c>
      <c r="C71" s="68">
        <f>B71*10</f>
        <v>80</v>
      </c>
      <c r="D71" s="36"/>
      <c r="E71"/>
      <c r="F71"/>
      <c r="G71"/>
      <c r="H71"/>
      <c r="I71" s="1"/>
      <c r="J71" s="4"/>
      <c r="K71" s="4"/>
      <c r="L71" s="25"/>
    </row>
    <row r="72" spans="1:12" ht="18" hidden="1">
      <c r="A72" s="37">
        <v>49</v>
      </c>
      <c r="B72" s="40">
        <f t="shared" si="0"/>
        <v>7.9</v>
      </c>
      <c r="C72" s="68">
        <f>B72*10</f>
        <v>79</v>
      </c>
      <c r="D72" s="36"/>
      <c r="E72"/>
      <c r="F72"/>
      <c r="G72"/>
      <c r="H72"/>
      <c r="I72" s="1"/>
      <c r="J72" s="4"/>
      <c r="K72" s="4"/>
      <c r="L72" s="25"/>
    </row>
    <row r="73" spans="1:12" ht="18" hidden="1">
      <c r="A73" s="38">
        <v>48</v>
      </c>
      <c r="B73" s="41">
        <f t="shared" si="0"/>
        <v>7.8</v>
      </c>
      <c r="C73" s="68">
        <f>B73*10</f>
        <v>78</v>
      </c>
      <c r="D73" s="36"/>
      <c r="E73"/>
      <c r="F73"/>
      <c r="G73"/>
      <c r="H73"/>
      <c r="I73" s="1"/>
      <c r="J73" s="4"/>
      <c r="K73" s="4"/>
      <c r="L73" s="25"/>
    </row>
    <row r="74" spans="1:12" ht="18" hidden="1">
      <c r="A74" s="37">
        <v>47</v>
      </c>
      <c r="B74" s="40">
        <f t="shared" si="0"/>
        <v>7.6</v>
      </c>
      <c r="C74" s="68">
        <f t="shared" ref="C74" si="4">B74*10</f>
        <v>76</v>
      </c>
      <c r="D74" s="36"/>
      <c r="E74"/>
      <c r="F74"/>
      <c r="G74"/>
      <c r="H74"/>
      <c r="I74" s="1"/>
      <c r="J74" s="4"/>
      <c r="K74" s="4"/>
      <c r="L74" s="25"/>
    </row>
    <row r="75" spans="1:12" ht="18" hidden="1">
      <c r="A75" s="38">
        <v>46</v>
      </c>
      <c r="B75" s="41">
        <f t="shared" si="0"/>
        <v>7.5</v>
      </c>
      <c r="C75" s="68">
        <f>B75*10</f>
        <v>75</v>
      </c>
      <c r="D75" s="36"/>
      <c r="E75"/>
      <c r="F75"/>
      <c r="G75"/>
      <c r="H75"/>
      <c r="I75" s="1"/>
      <c r="J75" s="4"/>
      <c r="K75" s="4"/>
      <c r="L75" s="25"/>
    </row>
    <row r="76" spans="1:12" ht="18" hidden="1">
      <c r="A76" s="37">
        <v>45</v>
      </c>
      <c r="B76" s="40">
        <f t="shared" si="0"/>
        <v>7.3</v>
      </c>
      <c r="C76" s="68">
        <f>B76*10</f>
        <v>73</v>
      </c>
      <c r="D76" s="36"/>
      <c r="E76"/>
      <c r="F76"/>
      <c r="G76"/>
      <c r="H76"/>
      <c r="I76" s="1"/>
      <c r="J76" s="4"/>
      <c r="K76" s="4"/>
      <c r="L76" s="25"/>
    </row>
    <row r="77" spans="1:12" ht="18" hidden="1">
      <c r="A77" s="38">
        <v>44</v>
      </c>
      <c r="B77" s="41">
        <f t="shared" si="0"/>
        <v>7.2</v>
      </c>
      <c r="C77" s="68">
        <f t="shared" ref="C77:C122" si="5">B77*10</f>
        <v>72</v>
      </c>
      <c r="D77" s="36"/>
      <c r="E77"/>
      <c r="F77"/>
      <c r="G77"/>
      <c r="H77"/>
      <c r="I77" s="1"/>
      <c r="J77" s="4"/>
      <c r="K77" s="4"/>
      <c r="L77" s="25"/>
    </row>
    <row r="78" spans="1:12" ht="18" hidden="1">
      <c r="A78" s="37">
        <v>43</v>
      </c>
      <c r="B78" s="40">
        <f t="shared" si="0"/>
        <v>7</v>
      </c>
      <c r="C78" s="68">
        <f t="shared" si="5"/>
        <v>70</v>
      </c>
      <c r="D78" s="36"/>
      <c r="E78"/>
      <c r="F78"/>
      <c r="G78"/>
      <c r="H78"/>
      <c r="I78" s="1"/>
      <c r="J78" s="4"/>
      <c r="K78" s="4"/>
      <c r="L78" s="25"/>
    </row>
    <row r="79" spans="1:12" ht="18" hidden="1">
      <c r="A79" s="38">
        <v>42</v>
      </c>
      <c r="B79" s="41">
        <f t="shared" si="0"/>
        <v>6.9</v>
      </c>
      <c r="C79" s="68">
        <f t="shared" si="5"/>
        <v>69</v>
      </c>
      <c r="D79" s="36"/>
      <c r="E79"/>
      <c r="F79"/>
      <c r="G79"/>
      <c r="H79"/>
      <c r="I79" s="1"/>
      <c r="J79" s="4"/>
      <c r="K79" s="4"/>
      <c r="L79" s="25"/>
    </row>
    <row r="80" spans="1:12" ht="18" hidden="1">
      <c r="A80" s="37">
        <v>41</v>
      </c>
      <c r="B80" s="40">
        <f t="shared" si="0"/>
        <v>6.8</v>
      </c>
      <c r="C80" s="68">
        <f t="shared" si="5"/>
        <v>68</v>
      </c>
      <c r="D80" s="36"/>
      <c r="E80"/>
      <c r="F80"/>
      <c r="G80"/>
      <c r="H80"/>
      <c r="I80" s="1"/>
      <c r="J80" s="4"/>
      <c r="K80" s="4"/>
      <c r="L80" s="25"/>
    </row>
    <row r="81" spans="1:12" ht="18" hidden="1">
      <c r="A81" s="38">
        <v>40</v>
      </c>
      <c r="B81" s="41">
        <f t="shared" si="0"/>
        <v>6.6</v>
      </c>
      <c r="C81" s="68">
        <f t="shared" si="5"/>
        <v>66</v>
      </c>
      <c r="D81" s="36"/>
      <c r="E81"/>
      <c r="F81"/>
      <c r="G81"/>
      <c r="H81"/>
      <c r="I81" s="1"/>
      <c r="J81" s="4"/>
      <c r="K81" s="4"/>
      <c r="L81" s="25"/>
    </row>
    <row r="82" spans="1:12" ht="18" hidden="1">
      <c r="A82" s="37">
        <v>39</v>
      </c>
      <c r="B82" s="40">
        <f t="shared" si="0"/>
        <v>6.5</v>
      </c>
      <c r="C82" s="68">
        <f t="shared" si="5"/>
        <v>65</v>
      </c>
      <c r="D82" s="36"/>
      <c r="E82"/>
      <c r="F82"/>
      <c r="G82"/>
      <c r="H82"/>
      <c r="I82" s="1"/>
      <c r="J82" s="4"/>
      <c r="K82" s="4"/>
      <c r="L82" s="25"/>
    </row>
    <row r="83" spans="1:12" ht="18" hidden="1">
      <c r="A83" s="38">
        <v>38</v>
      </c>
      <c r="B83" s="41">
        <f t="shared" si="0"/>
        <v>6.3</v>
      </c>
      <c r="C83" s="68">
        <f t="shared" si="5"/>
        <v>63</v>
      </c>
      <c r="D83" s="36"/>
      <c r="E83"/>
      <c r="F83"/>
      <c r="G83"/>
      <c r="H83"/>
      <c r="I83" s="1"/>
      <c r="J83" s="4"/>
      <c r="K83" s="4"/>
      <c r="L83" s="25"/>
    </row>
    <row r="84" spans="1:12" ht="18" hidden="1">
      <c r="A84" s="37">
        <v>37</v>
      </c>
      <c r="B84" s="40">
        <f t="shared" si="0"/>
        <v>6.2</v>
      </c>
      <c r="C84" s="68">
        <f t="shared" si="5"/>
        <v>62</v>
      </c>
      <c r="D84" s="36"/>
      <c r="E84"/>
      <c r="F84"/>
      <c r="G84"/>
      <c r="H84"/>
      <c r="I84" s="1"/>
      <c r="J84" s="4"/>
      <c r="K84" s="4"/>
      <c r="L84" s="25"/>
    </row>
    <row r="85" spans="1:12" ht="18" hidden="1">
      <c r="A85" s="38">
        <v>36</v>
      </c>
      <c r="B85" s="41">
        <f t="shared" si="0"/>
        <v>6.1</v>
      </c>
      <c r="C85" s="68">
        <f t="shared" si="5"/>
        <v>61</v>
      </c>
      <c r="D85" s="36"/>
      <c r="E85"/>
      <c r="F85"/>
      <c r="G85"/>
      <c r="H85"/>
      <c r="I85" s="1"/>
      <c r="J85" s="4"/>
      <c r="K85" s="4"/>
      <c r="L85" s="25"/>
    </row>
    <row r="86" spans="1:12" ht="18" hidden="1">
      <c r="A86" s="37">
        <v>35</v>
      </c>
      <c r="B86" s="40">
        <f t="shared" si="0"/>
        <v>5.9</v>
      </c>
      <c r="C86" s="68">
        <f t="shared" si="5"/>
        <v>59</v>
      </c>
      <c r="D86" s="36"/>
      <c r="E86"/>
      <c r="F86"/>
      <c r="G86"/>
      <c r="H86"/>
      <c r="I86" s="1"/>
      <c r="J86" s="4"/>
      <c r="K86" s="4"/>
      <c r="L86" s="25"/>
    </row>
    <row r="87" spans="1:12" ht="18" hidden="1">
      <c r="A87" s="38">
        <v>34</v>
      </c>
      <c r="B87" s="41">
        <f t="shared" si="0"/>
        <v>5.8</v>
      </c>
      <c r="C87" s="68">
        <f t="shared" si="5"/>
        <v>58</v>
      </c>
      <c r="D87" s="36"/>
      <c r="E87"/>
      <c r="F87"/>
      <c r="G87"/>
      <c r="H87"/>
      <c r="I87" s="1"/>
      <c r="J87" s="4"/>
      <c r="K87" s="4"/>
      <c r="L87" s="25"/>
    </row>
    <row r="88" spans="1:12" ht="18" hidden="1">
      <c r="A88" s="37">
        <v>33</v>
      </c>
      <c r="B88" s="40">
        <f t="shared" si="0"/>
        <v>5.6</v>
      </c>
      <c r="C88" s="68">
        <f t="shared" si="5"/>
        <v>56</v>
      </c>
      <c r="D88" s="36"/>
      <c r="E88"/>
      <c r="F88"/>
      <c r="G88"/>
      <c r="H88"/>
      <c r="I88" s="1"/>
      <c r="J88" s="4"/>
      <c r="K88" s="4"/>
      <c r="L88" s="25"/>
    </row>
    <row r="89" spans="1:12" ht="18" hidden="1">
      <c r="A89" s="38">
        <v>32</v>
      </c>
      <c r="B89" s="41">
        <f t="shared" si="0"/>
        <v>5.5</v>
      </c>
      <c r="C89" s="68">
        <f t="shared" si="5"/>
        <v>55</v>
      </c>
      <c r="D89" s="36"/>
      <c r="E89"/>
      <c r="F89"/>
      <c r="G89"/>
      <c r="H89"/>
      <c r="I89" s="1"/>
      <c r="J89" s="4"/>
      <c r="K89" s="4"/>
      <c r="L89" s="25"/>
    </row>
    <row r="90" spans="1:12" ht="18" hidden="1">
      <c r="A90" s="37"/>
      <c r="B90" s="40"/>
      <c r="C90" s="68"/>
      <c r="D90" s="39"/>
      <c r="E90"/>
    </row>
    <row r="91" spans="1:12" ht="18" hidden="1">
      <c r="A91" s="37">
        <v>31</v>
      </c>
      <c r="B91" s="40">
        <f t="shared" si="0"/>
        <v>5.4</v>
      </c>
      <c r="C91" s="68">
        <f t="shared" si="5"/>
        <v>54</v>
      </c>
      <c r="D91" s="36"/>
      <c r="E91"/>
      <c r="F91"/>
      <c r="G91"/>
      <c r="H91"/>
      <c r="I91" s="1"/>
      <c r="J91" s="4"/>
      <c r="K91" s="4"/>
      <c r="L91" s="25"/>
    </row>
    <row r="92" spans="1:12" ht="18" hidden="1">
      <c r="A92" s="38">
        <v>30</v>
      </c>
      <c r="B92" s="41">
        <f t="shared" si="0"/>
        <v>5.2</v>
      </c>
      <c r="C92" s="68">
        <f t="shared" si="5"/>
        <v>52</v>
      </c>
      <c r="D92" s="36"/>
      <c r="E92"/>
    </row>
    <row r="93" spans="1:12" ht="18" hidden="1">
      <c r="A93" s="37">
        <v>29</v>
      </c>
      <c r="B93" s="40">
        <f t="shared" si="0"/>
        <v>5.0999999999999996</v>
      </c>
      <c r="C93" s="68">
        <f t="shared" si="5"/>
        <v>51</v>
      </c>
      <c r="D93" s="36"/>
      <c r="E93"/>
    </row>
    <row r="94" spans="1:12" ht="18" hidden="1">
      <c r="A94" s="38">
        <v>28</v>
      </c>
      <c r="B94" s="41">
        <f t="shared" si="0"/>
        <v>4.9000000000000004</v>
      </c>
      <c r="C94" s="68">
        <f t="shared" si="5"/>
        <v>49</v>
      </c>
      <c r="D94" s="39"/>
      <c r="E94"/>
    </row>
    <row r="95" spans="1:12" ht="18" hidden="1">
      <c r="A95" s="38">
        <v>27</v>
      </c>
      <c r="B95" s="41">
        <f t="shared" si="0"/>
        <v>4.8</v>
      </c>
      <c r="C95" s="68">
        <f t="shared" si="5"/>
        <v>48</v>
      </c>
      <c r="D95" s="39"/>
      <c r="E95"/>
    </row>
    <row r="96" spans="1:12" ht="18" hidden="1">
      <c r="A96" s="37">
        <v>26</v>
      </c>
      <c r="B96" s="40">
        <f t="shared" si="0"/>
        <v>4.7</v>
      </c>
      <c r="C96" s="68">
        <f t="shared" si="5"/>
        <v>47</v>
      </c>
      <c r="D96" s="39"/>
      <c r="E96"/>
    </row>
    <row r="97" spans="1:5" ht="18" hidden="1">
      <c r="A97" s="38">
        <v>25</v>
      </c>
      <c r="B97" s="41">
        <f t="shared" si="0"/>
        <v>4.5</v>
      </c>
      <c r="C97" s="68">
        <f t="shared" si="5"/>
        <v>45</v>
      </c>
      <c r="D97" s="39"/>
      <c r="E97"/>
    </row>
    <row r="98" spans="1:5" ht="18" hidden="1">
      <c r="A98" s="37">
        <v>24</v>
      </c>
      <c r="B98" s="40">
        <f t="shared" si="0"/>
        <v>4.4000000000000004</v>
      </c>
      <c r="C98" s="68">
        <f t="shared" si="5"/>
        <v>44</v>
      </c>
      <c r="D98" s="39"/>
      <c r="E98"/>
    </row>
    <row r="99" spans="1:5" ht="18" hidden="1">
      <c r="A99" s="38">
        <v>23</v>
      </c>
      <c r="B99" s="41">
        <f t="shared" si="0"/>
        <v>4.2</v>
      </c>
      <c r="C99" s="68">
        <f t="shared" si="5"/>
        <v>42</v>
      </c>
      <c r="D99" s="39"/>
      <c r="E99"/>
    </row>
    <row r="100" spans="1:5" ht="18" hidden="1">
      <c r="A100" s="37">
        <v>22</v>
      </c>
      <c r="B100" s="40">
        <f t="shared" si="0"/>
        <v>4.0999999999999996</v>
      </c>
      <c r="C100" s="68">
        <f t="shared" si="5"/>
        <v>41</v>
      </c>
      <c r="D100" s="39"/>
      <c r="E100"/>
    </row>
    <row r="101" spans="1:5" ht="18" hidden="1">
      <c r="A101" s="38">
        <v>21</v>
      </c>
      <c r="B101" s="41">
        <f t="shared" si="0"/>
        <v>4</v>
      </c>
      <c r="C101" s="68">
        <f t="shared" si="5"/>
        <v>40</v>
      </c>
      <c r="D101" s="39"/>
      <c r="E101"/>
    </row>
    <row r="102" spans="1:5" ht="18" hidden="1">
      <c r="A102" s="37">
        <v>20</v>
      </c>
      <c r="B102" s="40">
        <f t="shared" si="0"/>
        <v>3.8</v>
      </c>
      <c r="C102" s="68">
        <f t="shared" si="5"/>
        <v>38</v>
      </c>
      <c r="D102" s="39"/>
      <c r="E102"/>
    </row>
    <row r="103" spans="1:5" ht="18" hidden="1">
      <c r="A103" s="38">
        <v>19</v>
      </c>
      <c r="B103" s="41">
        <f t="shared" si="0"/>
        <v>3.7</v>
      </c>
      <c r="C103" s="68">
        <f t="shared" si="5"/>
        <v>37</v>
      </c>
      <c r="D103" s="39"/>
      <c r="E103"/>
    </row>
    <row r="104" spans="1:5" ht="18" hidden="1">
      <c r="A104" s="37">
        <v>18</v>
      </c>
      <c r="B104" s="40">
        <f t="shared" si="0"/>
        <v>3.5</v>
      </c>
      <c r="C104" s="68">
        <f t="shared" si="5"/>
        <v>35</v>
      </c>
      <c r="D104" s="39"/>
      <c r="E104"/>
    </row>
    <row r="105" spans="1:5" ht="18" hidden="1">
      <c r="A105" s="38">
        <v>17</v>
      </c>
      <c r="B105" s="41">
        <f t="shared" si="0"/>
        <v>3.4</v>
      </c>
      <c r="C105" s="68">
        <f t="shared" si="5"/>
        <v>34</v>
      </c>
      <c r="D105" s="39"/>
      <c r="E105"/>
    </row>
    <row r="106" spans="1:5" ht="18" hidden="1">
      <c r="A106" s="37">
        <v>16</v>
      </c>
      <c r="B106" s="40">
        <f t="shared" si="0"/>
        <v>3.3</v>
      </c>
      <c r="C106" s="68">
        <f t="shared" si="5"/>
        <v>33</v>
      </c>
      <c r="D106" s="39"/>
      <c r="E106"/>
    </row>
    <row r="107" spans="1:5" ht="18" hidden="1">
      <c r="A107" s="38">
        <v>15</v>
      </c>
      <c r="B107" s="41">
        <f t="shared" si="0"/>
        <v>3.1</v>
      </c>
      <c r="C107" s="68">
        <f t="shared" si="5"/>
        <v>31</v>
      </c>
      <c r="D107" s="39"/>
      <c r="E107"/>
    </row>
    <row r="108" spans="1:5" ht="18" hidden="1">
      <c r="A108" s="37">
        <v>14</v>
      </c>
      <c r="B108" s="40">
        <f t="shared" si="0"/>
        <v>3</v>
      </c>
      <c r="C108" s="68">
        <f t="shared" si="5"/>
        <v>30</v>
      </c>
      <c r="D108" s="39"/>
      <c r="E108"/>
    </row>
    <row r="109" spans="1:5" ht="18" hidden="1">
      <c r="A109" s="38">
        <v>13</v>
      </c>
      <c r="B109" s="41">
        <f t="shared" si="0"/>
        <v>2.8</v>
      </c>
      <c r="C109" s="68">
        <f t="shared" si="5"/>
        <v>28</v>
      </c>
      <c r="D109" s="39"/>
      <c r="E109"/>
    </row>
    <row r="110" spans="1:5" ht="18" hidden="1">
      <c r="A110" s="37">
        <v>12</v>
      </c>
      <c r="B110" s="40">
        <f t="shared" si="0"/>
        <v>2.7</v>
      </c>
      <c r="C110" s="68">
        <f t="shared" si="5"/>
        <v>27</v>
      </c>
      <c r="D110" s="39"/>
      <c r="E110"/>
    </row>
    <row r="111" spans="1:5" ht="18" hidden="1">
      <c r="A111" s="38">
        <v>11</v>
      </c>
      <c r="B111" s="41">
        <f t="shared" si="0"/>
        <v>2.5</v>
      </c>
      <c r="C111" s="68">
        <f t="shared" si="5"/>
        <v>25</v>
      </c>
      <c r="D111" s="39"/>
      <c r="E111"/>
    </row>
    <row r="112" spans="1:5" ht="18" hidden="1">
      <c r="A112" s="37">
        <v>10</v>
      </c>
      <c r="B112" s="40">
        <f t="shared" si="0"/>
        <v>2.4</v>
      </c>
      <c r="C112" s="68">
        <f t="shared" si="5"/>
        <v>24</v>
      </c>
      <c r="D112" s="39"/>
      <c r="E112"/>
    </row>
    <row r="113" spans="1:5" ht="18" hidden="1">
      <c r="A113" s="38">
        <v>9</v>
      </c>
      <c r="B113" s="41">
        <f t="shared" si="0"/>
        <v>2.2999999999999998</v>
      </c>
      <c r="C113" s="68">
        <f t="shared" si="5"/>
        <v>23</v>
      </c>
      <c r="D113" s="39"/>
      <c r="E113"/>
    </row>
    <row r="114" spans="1:5" ht="18" hidden="1">
      <c r="A114" s="37">
        <v>8</v>
      </c>
      <c r="B114" s="40">
        <f t="shared" si="0"/>
        <v>2.1</v>
      </c>
      <c r="C114" s="68">
        <f t="shared" si="5"/>
        <v>21</v>
      </c>
      <c r="D114" s="39"/>
      <c r="E114"/>
    </row>
    <row r="115" spans="1:5" ht="18" hidden="1">
      <c r="A115" s="38">
        <v>7</v>
      </c>
      <c r="B115" s="41">
        <f t="shared" si="0"/>
        <v>2</v>
      </c>
      <c r="C115" s="68">
        <f t="shared" si="5"/>
        <v>20</v>
      </c>
      <c r="D115" s="39"/>
      <c r="E115"/>
    </row>
    <row r="116" spans="1:5" ht="18" hidden="1">
      <c r="A116" s="37">
        <v>6</v>
      </c>
      <c r="B116" s="40">
        <f t="shared" si="0"/>
        <v>1.8</v>
      </c>
      <c r="C116" s="68">
        <f t="shared" si="5"/>
        <v>18</v>
      </c>
      <c r="D116" s="39"/>
      <c r="E116"/>
    </row>
    <row r="117" spans="1:5" ht="18" hidden="1">
      <c r="A117" s="38">
        <v>5</v>
      </c>
      <c r="B117" s="41">
        <f t="shared" si="0"/>
        <v>1.7</v>
      </c>
      <c r="C117" s="68">
        <f t="shared" si="5"/>
        <v>17</v>
      </c>
      <c r="D117" s="39"/>
      <c r="E117"/>
    </row>
    <row r="118" spans="1:5" ht="18" hidden="1">
      <c r="A118" s="37">
        <v>4</v>
      </c>
      <c r="B118" s="40">
        <f t="shared" si="0"/>
        <v>1.6</v>
      </c>
      <c r="C118" s="68">
        <f t="shared" si="5"/>
        <v>16</v>
      </c>
      <c r="D118" s="39"/>
      <c r="E118"/>
    </row>
    <row r="119" spans="1:5" ht="18" hidden="1">
      <c r="A119" s="38">
        <v>3</v>
      </c>
      <c r="B119" s="41">
        <f t="shared" si="0"/>
        <v>1.4</v>
      </c>
      <c r="C119" s="68">
        <f t="shared" si="5"/>
        <v>14</v>
      </c>
      <c r="D119" s="39"/>
      <c r="E119"/>
    </row>
    <row r="120" spans="1:5" ht="18" hidden="1">
      <c r="A120" s="37">
        <v>2</v>
      </c>
      <c r="B120" s="40">
        <f t="shared" si="0"/>
        <v>1.3</v>
      </c>
      <c r="C120" s="68">
        <f t="shared" si="5"/>
        <v>13</v>
      </c>
      <c r="D120" s="39"/>
      <c r="E120"/>
    </row>
    <row r="121" spans="1:5" ht="18" hidden="1">
      <c r="A121" s="38">
        <v>1</v>
      </c>
      <c r="B121" s="41">
        <f t="shared" si="0"/>
        <v>1.1000000000000001</v>
      </c>
      <c r="C121" s="68">
        <f t="shared" si="5"/>
        <v>11</v>
      </c>
      <c r="D121" s="39"/>
      <c r="E121"/>
    </row>
    <row r="122" spans="1:5" ht="18" hidden="1">
      <c r="A122" s="37">
        <v>0</v>
      </c>
      <c r="B122" s="40">
        <f t="shared" si="0"/>
        <v>1</v>
      </c>
      <c r="C122" s="68">
        <f t="shared" si="5"/>
        <v>10</v>
      </c>
      <c r="E122"/>
    </row>
    <row r="123" spans="1:5" hidden="1"/>
    <row r="124" spans="1:5" hidden="1"/>
  </sheetData>
  <sheetProtection formatCells="0" selectLockedCells="1"/>
  <mergeCells count="30">
    <mergeCell ref="A9:B9"/>
    <mergeCell ref="C2:I2"/>
    <mergeCell ref="A3:K3"/>
    <mergeCell ref="I4:I8"/>
    <mergeCell ref="J4:J8"/>
    <mergeCell ref="K4:K8"/>
    <mergeCell ref="I10:I11"/>
    <mergeCell ref="J10:J11"/>
    <mergeCell ref="K10:K11"/>
    <mergeCell ref="A12:B12"/>
    <mergeCell ref="I13:I21"/>
    <mergeCell ref="J13:J21"/>
    <mergeCell ref="K13:K21"/>
    <mergeCell ref="A33:B33"/>
    <mergeCell ref="A22:B22"/>
    <mergeCell ref="I23:I26"/>
    <mergeCell ref="J23:J26"/>
    <mergeCell ref="K23:K26"/>
    <mergeCell ref="A27:B27"/>
    <mergeCell ref="A29:B29"/>
    <mergeCell ref="A30:B30"/>
    <mergeCell ref="I31:I32"/>
    <mergeCell ref="J31:J32"/>
    <mergeCell ref="K31:K32"/>
    <mergeCell ref="I34:I36"/>
    <mergeCell ref="J34:J36"/>
    <mergeCell ref="K34:K36"/>
    <mergeCell ref="A39:B39"/>
    <mergeCell ref="D45:G45"/>
    <mergeCell ref="A37:B37"/>
  </mergeCells>
  <hyperlinks>
    <hyperlink ref="C1" location="Config!F2" display="Config!F2" xr:uid="{E27719E8-56FB-450A-85D3-37FD56E06465}"/>
  </hyperlinks>
  <pageMargins left="0.70866141732283472" right="0.70866141732283472" top="0.74803149606299213" bottom="0.74803149606299213" header="0.31496062992125984" footer="0.31496062992125984"/>
  <pageSetup paperSize="9" scale="3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2">
                <anchor moveWithCells="1" sizeWithCells="1">
                  <from>
                    <xdr:col>5</xdr:col>
                    <xdr:colOff>495300</xdr:colOff>
                    <xdr:row>45</xdr:row>
                    <xdr:rowOff>68580</xdr:rowOff>
                  </from>
                  <to>
                    <xdr:col>6</xdr:col>
                    <xdr:colOff>952500</xdr:colOff>
                    <xdr:row>46</xdr:row>
                    <xdr:rowOff>213360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CC6DD657314944A7ADE1FE680E3428" ma:contentTypeVersion="7" ma:contentTypeDescription="Een nieuw document maken." ma:contentTypeScope="" ma:versionID="15d2523c66a6c47fe7a807ff0e4b5518">
  <xsd:schema xmlns:xsd="http://www.w3.org/2001/XMLSchema" xmlns:xs="http://www.w3.org/2001/XMLSchema" xmlns:p="http://schemas.microsoft.com/office/2006/metadata/properties" xmlns:ns2="e6d0e481-2cb6-4c75-b5ad-e4eb8a5d0c35" xmlns:ns3="92ca8177-7ab1-4355-a631-948a96415cf2" targetNamespace="http://schemas.microsoft.com/office/2006/metadata/properties" ma:root="true" ma:fieldsID="0781f7a26ed6f1b1ad7414d7ef9f05d6" ns2:_="" ns3:_="">
    <xsd:import namespace="e6d0e481-2cb6-4c75-b5ad-e4eb8a5d0c35"/>
    <xsd:import namespace="92ca8177-7ab1-4355-a631-948a96415cf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d0e481-2cb6-4c75-b5ad-e4eb8a5d0c35" elementFormDefault="qualified">
    <xsd:import namespace="http://schemas.microsoft.com/office/2006/documentManagement/types"/>
    <xsd:import namespace="http://schemas.microsoft.com/office/infopath/2007/PartnerControls"/>
    <xsd:element name="SharedWithUsers" ma:index="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Gedeeld met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2ca8177-7ab1-4355-a631-948a96415cf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0BE9B8-9239-4495-8689-B072E38F78EB}"/>
</file>

<file path=customXml/itemProps2.xml><?xml version="1.0" encoding="utf-8"?>
<ds:datastoreItem xmlns:ds="http://schemas.openxmlformats.org/officeDocument/2006/customXml" ds:itemID="{A74E733E-7586-490F-8F14-8784DD1F9966}">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BBC4270F-6EBB-4F44-A905-F59F676255C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vt:i4>
      </vt:variant>
    </vt:vector>
  </HeadingPairs>
  <TitlesOfParts>
    <vt:vector size="2" baseType="lpstr">
      <vt:lpstr>Config</vt:lpstr>
      <vt:lpstr>Basis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veraart1973@gmail.com;"Marcel Koningstein" &lt;M.Koningstein@tcrmbo.nl&gt;</dc:creator>
  <cp:keywords/>
  <dc:description/>
  <cp:lastModifiedBy>Pete Berkhout</cp:lastModifiedBy>
  <cp:revision/>
  <cp:lastPrinted>2020-11-03T20:47:52Z</cp:lastPrinted>
  <dcterms:created xsi:type="dcterms:W3CDTF">2020-07-27T09:29:41Z</dcterms:created>
  <dcterms:modified xsi:type="dcterms:W3CDTF">2021-10-08T14:49:31Z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0x0101001DCC6DD657314944A7ADE1FE680E3428</vt:lpwstr>
  </property>
</Properties>
</file>